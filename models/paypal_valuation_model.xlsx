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vuminhthu/Documents/finance_proj/paypal_valuation_model/paypal-equity-valuation/models/"/>
    </mc:Choice>
  </mc:AlternateContent>
  <xr:revisionPtr revIDLastSave="0" documentId="13_ncr:1_{47F75337-E8C0-7E4E-8EA9-FC71C6276018}" xr6:coauthVersionLast="47" xr6:coauthVersionMax="47" xr10:uidLastSave="{00000000-0000-0000-0000-000000000000}"/>
  <bookViews>
    <workbookView xWindow="0" yWindow="0" windowWidth="28800" windowHeight="18000" activeTab="3" xr2:uid="{53F9F6E7-14AB-9943-9E41-7CD85C06311B}"/>
  </bookViews>
  <sheets>
    <sheet name="Cover" sheetId="1" r:id="rId1"/>
    <sheet name="Historical" sheetId="2" r:id="rId2"/>
    <sheet name="Forecast" sheetId="3" r:id="rId3"/>
    <sheet name="Summary" sheetId="7" r:id="rId4"/>
    <sheet name="DCF" sheetId="4" r:id="rId5"/>
    <sheet name="Comps" sheetId="5" r:id="rId6"/>
    <sheet name="Sensitivity" sheetId="6" r:id="rId7"/>
  </sheets>
  <definedNames>
    <definedName name="_xlchart.v2.0" hidden="1">Historical!$B$5:$F$5</definedName>
    <definedName name="_xlchart.v2.1" hidden="1">Historical!$B$70:$F$70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0" i="2" l="1"/>
  <c r="C70" i="2"/>
  <c r="D70" i="2"/>
  <c r="D71" i="2" s="1"/>
  <c r="E70" i="2"/>
  <c r="E71" i="2" s="1"/>
  <c r="F70" i="2"/>
  <c r="B88" i="2" s="1"/>
  <c r="B20" i="5"/>
  <c r="D20" i="5" s="1"/>
  <c r="E20" i="5" s="1"/>
  <c r="C27" i="5"/>
  <c r="C28" i="5"/>
  <c r="C29" i="5"/>
  <c r="C31" i="5"/>
  <c r="C26" i="5"/>
  <c r="G12" i="5"/>
  <c r="F21" i="5"/>
  <c r="D21" i="5"/>
  <c r="E21" i="5" s="1"/>
  <c r="E19" i="5"/>
  <c r="D19" i="5"/>
  <c r="B21" i="5"/>
  <c r="C13" i="5"/>
  <c r="D13" i="5"/>
  <c r="E13" i="5"/>
  <c r="F13" i="5"/>
  <c r="G13" i="5"/>
  <c r="B13" i="5"/>
  <c r="C12" i="5"/>
  <c r="D12" i="5"/>
  <c r="E12" i="5"/>
  <c r="F12" i="5"/>
  <c r="B12" i="5"/>
  <c r="B33" i="4"/>
  <c r="C27" i="4"/>
  <c r="D27" i="4"/>
  <c r="D28" i="4" s="1"/>
  <c r="E27" i="4"/>
  <c r="F27" i="4"/>
  <c r="E28" i="4"/>
  <c r="B27" i="4"/>
  <c r="B28" i="4" s="1"/>
  <c r="I3" i="6"/>
  <c r="I2" i="6"/>
  <c r="B38" i="4"/>
  <c r="C28" i="4"/>
  <c r="C25" i="4"/>
  <c r="D25" i="4"/>
  <c r="E25" i="4"/>
  <c r="F25" i="4"/>
  <c r="B25" i="4"/>
  <c r="B20" i="4"/>
  <c r="B18" i="4"/>
  <c r="B17" i="4"/>
  <c r="B15" i="4"/>
  <c r="B11" i="4"/>
  <c r="B7" i="4"/>
  <c r="D27" i="3"/>
  <c r="E27" i="3"/>
  <c r="F27" i="3"/>
  <c r="G27" i="3"/>
  <c r="C27" i="3"/>
  <c r="D24" i="3"/>
  <c r="E24" i="3"/>
  <c r="F24" i="3"/>
  <c r="G24" i="3"/>
  <c r="C24" i="3"/>
  <c r="D21" i="3"/>
  <c r="E21" i="3"/>
  <c r="F21" i="3"/>
  <c r="G21" i="3"/>
  <c r="C21" i="3"/>
  <c r="D18" i="3"/>
  <c r="E18" i="3"/>
  <c r="F18" i="3"/>
  <c r="G18" i="3"/>
  <c r="C18" i="3"/>
  <c r="B19" i="3"/>
  <c r="D16" i="3"/>
  <c r="E16" i="3"/>
  <c r="F16" i="3"/>
  <c r="G16" i="3"/>
  <c r="C16" i="3"/>
  <c r="D13" i="3"/>
  <c r="E13" i="3"/>
  <c r="F13" i="3"/>
  <c r="G13" i="3"/>
  <c r="C13" i="3"/>
  <c r="D9" i="3"/>
  <c r="E9" i="3" s="1"/>
  <c r="F9" i="3" s="1"/>
  <c r="G9" i="3" s="1"/>
  <c r="C9" i="3"/>
  <c r="B21" i="3"/>
  <c r="B18" i="3"/>
  <c r="B12" i="3"/>
  <c r="B9" i="3"/>
  <c r="B80" i="2"/>
  <c r="B87" i="2"/>
  <c r="B86" i="2"/>
  <c r="B84" i="2"/>
  <c r="B81" i="2"/>
  <c r="C71" i="2"/>
  <c r="B71" i="2"/>
  <c r="D10" i="2"/>
  <c r="C30" i="2"/>
  <c r="B30" i="2"/>
  <c r="B83" i="2" s="1"/>
  <c r="C27" i="2"/>
  <c r="B27" i="2"/>
  <c r="C22" i="2"/>
  <c r="D22" i="2"/>
  <c r="E22" i="2"/>
  <c r="F22" i="2"/>
  <c r="B22" i="2"/>
  <c r="B82" i="2" s="1"/>
  <c r="C10" i="2"/>
  <c r="F27" i="2"/>
  <c r="E27" i="2"/>
  <c r="D27" i="2"/>
  <c r="F71" i="2" l="1"/>
  <c r="B85" i="2"/>
  <c r="B34" i="4"/>
  <c r="F28" i="4"/>
  <c r="F30" i="4" s="1"/>
  <c r="C30" i="4" l="1"/>
  <c r="E30" i="4"/>
  <c r="B30" i="4"/>
  <c r="B36" i="4" s="1"/>
  <c r="B40" i="4" s="1"/>
  <c r="B43" i="4" s="1"/>
  <c r="A5" i="6" s="1"/>
  <c r="D30" i="4"/>
</calcChain>
</file>

<file path=xl/sharedStrings.xml><?xml version="1.0" encoding="utf-8"?>
<sst xmlns="http://schemas.openxmlformats.org/spreadsheetml/2006/main" count="209" uniqueCount="173">
  <si>
    <t>PayPal Holdings, Inc.</t>
  </si>
  <si>
    <t>Historical Financial Analysis</t>
  </si>
  <si>
    <t>$ in millions except per-share data</t>
  </si>
  <si>
    <t>INCOME STATEMENT</t>
  </si>
  <si>
    <t>Revenue</t>
  </si>
  <si>
    <t>Revenue Growth %</t>
  </si>
  <si>
    <t>Transaction Expense</t>
  </si>
  <si>
    <t>Transaction &amp; Credit Losses</t>
  </si>
  <si>
    <t>Customer Support &amp; Operations</t>
  </si>
  <si>
    <t>Sales &amp; Marketing</t>
  </si>
  <si>
    <t>Technology &amp; Development</t>
  </si>
  <si>
    <t>General &amp; Administrative</t>
  </si>
  <si>
    <t>Restructuring &amp; Other</t>
  </si>
  <si>
    <t>Total Operating Expenses</t>
  </si>
  <si>
    <t>Operating Income</t>
  </si>
  <si>
    <t>Operating Margin %</t>
  </si>
  <si>
    <t>Other Income / Expense</t>
  </si>
  <si>
    <t>Pre-Tax Income</t>
  </si>
  <si>
    <t>Income Tax Expense</t>
  </si>
  <si>
    <t>Effective Tax Rate %</t>
  </si>
  <si>
    <t>Net Income</t>
  </si>
  <si>
    <t>Net Margin %</t>
  </si>
  <si>
    <t>Diluted EPS</t>
  </si>
  <si>
    <t>Diluted Shares Outstanding</t>
  </si>
  <si>
    <t xml:space="preserve"> BALANCE SHEET</t>
  </si>
  <si>
    <t xml:space="preserve"> Cash &amp; Cash Equivalents</t>
  </si>
  <si>
    <t xml:space="preserve"> Short-Term Investments</t>
  </si>
  <si>
    <t xml:space="preserve"> Accounts Receivable</t>
  </si>
  <si>
    <t xml:space="preserve"> Loans Receivable</t>
  </si>
  <si>
    <t xml:space="preserve"> Funds Receivable &amp; Customer Accounts</t>
  </si>
  <si>
    <t xml:space="preserve"> Total Current Assets</t>
  </si>
  <si>
    <t xml:space="preserve"> Long-Term Investments</t>
  </si>
  <si>
    <t xml:space="preserve"> Property &amp; Equipment</t>
  </si>
  <si>
    <t xml:space="preserve"> Goodwill</t>
  </si>
  <si>
    <t xml:space="preserve"> Intangible Assets</t>
  </si>
  <si>
    <t xml:space="preserve"> Other Assets</t>
  </si>
  <si>
    <t xml:space="preserve"> Total Assets</t>
  </si>
  <si>
    <t xml:space="preserve"> Accounts Payable</t>
  </si>
  <si>
    <t xml:space="preserve"> Funds Payable &amp; Amounts Due to Customers</t>
  </si>
  <si>
    <t xml:space="preserve"> Other Current Liabilities</t>
  </si>
  <si>
    <t xml:space="preserve"> Total Current Liabilities</t>
  </si>
  <si>
    <t xml:space="preserve"> Other Long-Term Liabilities</t>
  </si>
  <si>
    <t xml:space="preserve"> Long-Term Debt</t>
  </si>
  <si>
    <t xml:space="preserve"> Total Liabilities</t>
  </si>
  <si>
    <t xml:space="preserve"> Total Equity</t>
  </si>
  <si>
    <t>CASH FLOW</t>
  </si>
  <si>
    <t>Operating Cash Flow</t>
  </si>
  <si>
    <t>Capital Expenditures</t>
  </si>
  <si>
    <t>Free Cash Flow</t>
  </si>
  <si>
    <t>FCF Margin %</t>
  </si>
  <si>
    <t>Share Repurchases</t>
  </si>
  <si>
    <t>Stock-Based Compensation</t>
  </si>
  <si>
    <t>Depreciation &amp; Amortization</t>
  </si>
  <si>
    <t>KEY FINANCIAL METRICS</t>
  </si>
  <si>
    <t>Revenue CAGR</t>
  </si>
  <si>
    <t>EPS CAGR</t>
  </si>
  <si>
    <t>Operating Margin Change</t>
  </si>
  <si>
    <t>Net Margin Change</t>
  </si>
  <si>
    <t>FCF CAGR</t>
  </si>
  <si>
    <t>FCF Conversion</t>
  </si>
  <si>
    <t>Debt / Equity</t>
  </si>
  <si>
    <t>Share Count Change</t>
  </si>
  <si>
    <t>Buyback / FCF</t>
  </si>
  <si>
    <t>HISTORICAL OBSERVATIONS</t>
  </si>
  <si>
    <t>Revenue growth has slowed over the historical period.</t>
  </si>
  <si>
    <t>Operating margin improved significantly by 2025.</t>
  </si>
  <si>
    <t>EPS growth exceeded revenue growth.</t>
  </si>
  <si>
    <t>Share repurchases materially reduced diluted share count.</t>
  </si>
  <si>
    <t>Free cash flow remained strong but was more volatile than earnings.</t>
  </si>
  <si>
    <t>2025 buybacks exceeded annual free cash flow.</t>
  </si>
  <si>
    <t>2025A</t>
  </si>
  <si>
    <t>2026E</t>
  </si>
  <si>
    <t>2027E</t>
  </si>
  <si>
    <t>2028E</t>
  </si>
  <si>
    <t>2029E</t>
  </si>
  <si>
    <t>2030E</t>
  </si>
  <si>
    <t xml:space="preserve"> REVENUE FORECAST</t>
  </si>
  <si>
    <t xml:space="preserve"> Revenue</t>
  </si>
  <si>
    <t>Tax Rate %</t>
  </si>
  <si>
    <t>NOPAT</t>
  </si>
  <si>
    <t>D&amp;A</t>
  </si>
  <si>
    <t>D&amp;A / Revenue %</t>
  </si>
  <si>
    <t>CapEx</t>
  </si>
  <si>
    <t>CapEx / Revenue %</t>
  </si>
  <si>
    <t>Change in NWC</t>
  </si>
  <si>
    <t>Change in NWC / Revenue %</t>
  </si>
  <si>
    <t>Unlevered Free Cash Flow</t>
  </si>
  <si>
    <t xml:space="preserve"> WACC CALCULATION</t>
  </si>
  <si>
    <t xml:space="preserve"> Risk-Free Rate</t>
  </si>
  <si>
    <t xml:space="preserve"> Beta</t>
  </si>
  <si>
    <t xml:space="preserve"> Equity Risk Premium</t>
  </si>
  <si>
    <t xml:space="preserve"> Cost of Equity</t>
  </si>
  <si>
    <t xml:space="preserve"> Pre-Tax Cost of Debt</t>
  </si>
  <si>
    <t>Tax Rate</t>
  </si>
  <si>
    <t>After-Tax Cost of Debt</t>
  </si>
  <si>
    <t>Market Value of Equity</t>
  </si>
  <si>
    <t>Debt</t>
  </si>
  <si>
    <t>Total Capital</t>
  </si>
  <si>
    <t>Equity Weight</t>
  </si>
  <si>
    <t>Debt Weight</t>
  </si>
  <si>
    <t>WACC</t>
  </si>
  <si>
    <t>WACC Input</t>
  </si>
  <si>
    <t>Discount Period</t>
  </si>
  <si>
    <t>Discount Factor</t>
  </si>
  <si>
    <t>PV of UFCF</t>
  </si>
  <si>
    <t>PV of Forecast UFCF</t>
  </si>
  <si>
    <t>Terminal Growth Rate</t>
  </si>
  <si>
    <t>Terminal Value</t>
  </si>
  <si>
    <t>PV of Terminal Value</t>
  </si>
  <si>
    <t>Enterprise Value</t>
  </si>
  <si>
    <t>Cash &amp; Investments</t>
  </si>
  <si>
    <t>Equity Value</t>
  </si>
  <si>
    <t>Implied Share Price</t>
  </si>
  <si>
    <t>DCF SENSITIVITY ANALYSIS</t>
  </si>
  <si>
    <t>Terminal Growth</t>
  </si>
  <si>
    <t>Terminal Growth Input</t>
  </si>
  <si>
    <t>INTERPRETATION</t>
  </si>
  <si>
    <t>The DCF valuation is most sensitive to the discount rate</t>
  </si>
  <si>
    <t>and terminal growth assumption. Lower discount rates and</t>
  </si>
  <si>
    <t>higher terminal growth rates produce materially higher</t>
  </si>
  <si>
    <t>implied equity values.</t>
  </si>
  <si>
    <t>The DCF suggests a range of potential intrinsic values depending on long-term growth and required return assumptions.</t>
  </si>
  <si>
    <t>COMPARABLE COMPANY ANALYSIS</t>
  </si>
  <si>
    <t>Company</t>
  </si>
  <si>
    <t>Market Cap ($M)</t>
  </si>
  <si>
    <t>Enterprise Value ($M)</t>
  </si>
  <si>
    <t>Forward P/E</t>
  </si>
  <si>
    <t>EV/Sales</t>
  </si>
  <si>
    <t>EV/EBITDA</t>
  </si>
  <si>
    <t>P/FCF</t>
  </si>
  <si>
    <t>PayPal</t>
  </si>
  <si>
    <t>use PYPL current</t>
  </si>
  <si>
    <t>Block</t>
  </si>
  <si>
    <t>—</t>
  </si>
  <si>
    <t>Fiserv</t>
  </si>
  <si>
    <t>Global Payments</t>
  </si>
  <si>
    <t>Visa</t>
  </si>
  <si>
    <t>Mastercard</t>
  </si>
  <si>
    <t>Peer Median</t>
  </si>
  <si>
    <t>Peer Average</t>
  </si>
  <si>
    <t>~15</t>
  </si>
  <si>
    <t>~14</t>
  </si>
  <si>
    <t>PAYPAL IMPLIED VALUATION</t>
  </si>
  <si>
    <t>Method</t>
  </si>
  <si>
    <t>Peer Median Multiple</t>
  </si>
  <si>
    <t>PayPal Metric</t>
  </si>
  <si>
    <t>Implied Value</t>
  </si>
  <si>
    <t>P / FCF</t>
  </si>
  <si>
    <t>EV / EBITDA</t>
  </si>
  <si>
    <t>VALUATION SUMMARY</t>
  </si>
  <si>
    <t>DCF</t>
  </si>
  <si>
    <t>Current Market Price</t>
  </si>
  <si>
    <t>Upside / Downside</t>
  </si>
  <si>
    <t>PAYPAL EQUITY VALUATION SUMMARY</t>
  </si>
  <si>
    <t>Historical performance, DCF valuation and comparable-company cross-check</t>
  </si>
  <si>
    <t>VALUATION SNAPSHOT</t>
  </si>
  <si>
    <t>DCF Value</t>
  </si>
  <si>
    <t>Revenue CAGR (2021–2025)</t>
  </si>
  <si>
    <t>Forward P/E Value</t>
  </si>
  <si>
    <t>EPS CAGR (2021–2025)</t>
  </si>
  <si>
    <t>P / FCF Value</t>
  </si>
  <si>
    <t>2025 Operating Margin</t>
  </si>
  <si>
    <t>EV / EBITDA Value</t>
  </si>
  <si>
    <t>2025 FCF Margin</t>
  </si>
  <si>
    <t>KEY FINDINGS</t>
  </si>
  <si>
    <t>• Revenue grew at roughly 6.9% CAGR from 2021 to 2025, but annual growth slowed to 4.3% in 2025.</t>
  </si>
  <si>
    <t>• Operating margin improved to 18.3% in 2025, above the 2021 level.</t>
  </si>
  <si>
    <t>• EPS growth outpaced revenue growth, supported by a material reduction in diluted share count.</t>
  </si>
  <si>
    <t>• Free cash flow remained strong but was more volatile than revenue and earnings.</t>
  </si>
  <si>
    <t>• Valuation results vary meaningfully by methodology, highlighting sensitivity to assumptions and peer selection.</t>
  </si>
  <si>
    <t>VALUATION RANGE</t>
  </si>
  <si>
    <t>-</t>
  </si>
  <si>
    <t>Interpretation: The DCF and forward P/E methods imply higher values than the current market price, while the EV/EBITDA cross-check is closer to the market. The range reflects differences in assumptions, capital structure, peer selection and the treatment of future cash-flow growth.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</si>
</sst>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1" formatCode="0.0%"/>
    <numFmt numFmtId="173" formatCode="0.000"/>
    <numFmt numFmtId="177" formatCode="&quot;$&quot;#,##0"/>
    <numFmt numFmtId="183" formatCode="&quot;$&quot;0.00;[Red]\(&quot;$&quot;0.00\);\-"/>
    <numFmt numFmtId="184" formatCode="0.0%;[Red]\(0.0%\);\-"/>
  </numFmts>
  <fonts count="1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Arial Unicode MS"/>
      <family val="2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sz val="10"/>
      <color theme="4"/>
      <name val="Arial Unicode MS"/>
      <family val="2"/>
    </font>
    <font>
      <sz val="12"/>
      <color theme="4"/>
      <name val="Calibri"/>
      <family val="2"/>
      <scheme val="minor"/>
    </font>
    <font>
      <sz val="10"/>
      <color rgb="FFFF0000"/>
      <name val="Arial Unicode MS"/>
      <family val="2"/>
    </font>
    <font>
      <b/>
      <sz val="18"/>
      <color rgb="FFFFFFFF"/>
      <name val="Calibri"/>
      <family val="2"/>
      <scheme val="minor"/>
    </font>
    <font>
      <i/>
      <sz val="10"/>
      <color rgb="FF666666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2"/>
      <color rgb="FF008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i/>
      <sz val="12"/>
      <color rgb="FF555555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7365D"/>
        <bgColor rgb="FF000000"/>
      </patternFill>
    </fill>
    <fill>
      <patternFill patternType="solid">
        <fgColor rgb="FF1F4E78"/>
        <bgColor rgb="FF000000"/>
      </patternFill>
    </fill>
    <fill>
      <patternFill patternType="solid">
        <fgColor rgb="FFD9EAF7"/>
        <bgColor rgb="FF000000"/>
      </patternFill>
    </fill>
    <fill>
      <patternFill patternType="solid">
        <fgColor rgb="FFF2F2F2"/>
        <bgColor rgb="FF000000"/>
      </patternFill>
    </fill>
  </fills>
  <borders count="2">
    <border>
      <left/>
      <right/>
      <top/>
      <bottom/>
      <diagonal/>
    </border>
    <border>
      <left/>
      <right/>
      <top style="medium">
        <color rgb="FF000000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3" fillId="0" borderId="0" xfId="0" applyFont="1"/>
    <xf numFmtId="0" fontId="4" fillId="0" borderId="0" xfId="0" applyFont="1"/>
    <xf numFmtId="3" fontId="0" fillId="0" borderId="0" xfId="0" applyNumberFormat="1"/>
    <xf numFmtId="10" fontId="0" fillId="0" borderId="0" xfId="0" applyNumberFormat="1"/>
    <xf numFmtId="2" fontId="0" fillId="0" borderId="0" xfId="0" applyNumberFormat="1"/>
    <xf numFmtId="9" fontId="0" fillId="0" borderId="0" xfId="1" applyFont="1"/>
    <xf numFmtId="171" fontId="0" fillId="0" borderId="0" xfId="1" applyNumberFormat="1" applyFont="1"/>
    <xf numFmtId="171" fontId="0" fillId="0" borderId="0" xfId="0" applyNumberFormat="1"/>
    <xf numFmtId="0" fontId="0" fillId="0" borderId="0" xfId="0" applyAlignment="1">
      <alignment horizontal="left"/>
    </xf>
    <xf numFmtId="0" fontId="4" fillId="0" borderId="0" xfId="0" applyFont="1" applyAlignment="1">
      <alignment horizontal="left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171" fontId="0" fillId="0" borderId="0" xfId="1" applyNumberFormat="1" applyFont="1" applyAlignment="1">
      <alignment horizontal="center"/>
    </xf>
    <xf numFmtId="171" fontId="0" fillId="0" borderId="0" xfId="0" applyNumberFormat="1" applyAlignment="1">
      <alignment horizontal="center"/>
    </xf>
    <xf numFmtId="0" fontId="0" fillId="0" borderId="0" xfId="0" applyNumberFormat="1"/>
    <xf numFmtId="1" fontId="0" fillId="0" borderId="0" xfId="0" applyNumberFormat="1"/>
    <xf numFmtId="9" fontId="0" fillId="0" borderId="0" xfId="0" applyNumberFormat="1"/>
    <xf numFmtId="2" fontId="4" fillId="0" borderId="0" xfId="0" applyNumberFormat="1" applyFont="1"/>
    <xf numFmtId="177" fontId="0" fillId="0" borderId="0" xfId="0" applyNumberFormat="1" applyAlignment="1">
      <alignment horizontal="center"/>
    </xf>
    <xf numFmtId="171" fontId="0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1" fontId="4" fillId="0" borderId="0" xfId="0" applyNumberFormat="1" applyFont="1" applyAlignment="1">
      <alignment horizontal="center"/>
    </xf>
    <xf numFmtId="171" fontId="5" fillId="0" borderId="0" xfId="0" applyNumberFormat="1" applyFont="1" applyAlignment="1">
      <alignment horizontal="center"/>
    </xf>
    <xf numFmtId="10" fontId="4" fillId="0" borderId="0" xfId="1" applyNumberFormat="1" applyFont="1"/>
    <xf numFmtId="10" fontId="4" fillId="0" borderId="0" xfId="1" applyNumberFormat="1" applyFont="1" applyAlignment="1">
      <alignment horizontal="center"/>
    </xf>
    <xf numFmtId="3" fontId="4" fillId="0" borderId="0" xfId="0" applyNumberFormat="1" applyFont="1" applyAlignment="1">
      <alignment horizontal="center"/>
    </xf>
    <xf numFmtId="171" fontId="4" fillId="0" borderId="0" xfId="1" applyNumberFormat="1" applyFont="1" applyAlignment="1">
      <alignment horizontal="center"/>
    </xf>
    <xf numFmtId="0" fontId="0" fillId="0" borderId="0" xfId="0" applyFont="1"/>
    <xf numFmtId="2" fontId="0" fillId="0" borderId="0" xfId="0" applyNumberFormat="1" applyAlignment="1">
      <alignment horizontal="center"/>
    </xf>
    <xf numFmtId="173" fontId="4" fillId="0" borderId="0" xfId="1" applyNumberFormat="1" applyFont="1" applyAlignment="1">
      <alignment horizontal="center"/>
    </xf>
    <xf numFmtId="171" fontId="4" fillId="0" borderId="0" xfId="0" applyNumberFormat="1" applyFont="1"/>
    <xf numFmtId="4" fontId="0" fillId="0" borderId="0" xfId="0" applyNumberFormat="1"/>
    <xf numFmtId="2" fontId="0" fillId="0" borderId="0" xfId="1" applyNumberFormat="1" applyFont="1"/>
    <xf numFmtId="0" fontId="2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2" fillId="0" borderId="0" xfId="0" applyFont="1"/>
    <xf numFmtId="0" fontId="8" fillId="0" borderId="0" xfId="0" applyFont="1" applyAlignment="1">
      <alignment horizontal="center"/>
    </xf>
    <xf numFmtId="0" fontId="9" fillId="0" borderId="0" xfId="0" applyFont="1"/>
    <xf numFmtId="0" fontId="8" fillId="0" borderId="0" xfId="0" applyFont="1"/>
    <xf numFmtId="0" fontId="5" fillId="0" borderId="0" xfId="0" applyFont="1"/>
    <xf numFmtId="183" fontId="13" fillId="0" borderId="0" xfId="0" applyNumberFormat="1" applyFont="1"/>
    <xf numFmtId="184" fontId="13" fillId="0" borderId="0" xfId="0" applyNumberFormat="1" applyFont="1"/>
    <xf numFmtId="0" fontId="14" fillId="4" borderId="0" xfId="0" applyFont="1" applyFill="1"/>
    <xf numFmtId="184" fontId="5" fillId="0" borderId="0" xfId="0" applyNumberFormat="1" applyFont="1"/>
    <xf numFmtId="0" fontId="5" fillId="0" borderId="1" xfId="0" applyFont="1" applyBorder="1"/>
    <xf numFmtId="183" fontId="13" fillId="0" borderId="1" xfId="0" applyNumberFormat="1" applyFont="1" applyBorder="1"/>
    <xf numFmtId="184" fontId="5" fillId="0" borderId="1" xfId="0" applyNumberFormat="1" applyFont="1" applyBorder="1"/>
    <xf numFmtId="0" fontId="10" fillId="2" borderId="0" xfId="0" applyFont="1" applyFill="1" applyAlignment="1">
      <alignment horizontal="left" vertical="center"/>
    </xf>
    <xf numFmtId="0" fontId="11" fillId="0" borderId="0" xfId="0" applyFont="1"/>
    <xf numFmtId="0" fontId="12" fillId="3" borderId="0" xfId="0" applyFont="1" applyFill="1" applyAlignment="1">
      <alignment horizontal="left"/>
    </xf>
    <xf numFmtId="0" fontId="12" fillId="3" borderId="0" xfId="0" applyFont="1" applyFill="1"/>
    <xf numFmtId="0" fontId="5" fillId="0" borderId="0" xfId="0" applyFont="1" applyAlignment="1">
      <alignment wrapText="1"/>
    </xf>
    <xf numFmtId="0" fontId="15" fillId="5" borderId="0" xfId="0" applyFont="1" applyFill="1" applyAlignment="1">
      <alignment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PayPal Revenue Growth ($M)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Historical!$B$5:$F$5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Historical!$B$9:$F$9</c:f>
              <c:numCache>
                <c:formatCode>#,##0</c:formatCode>
                <c:ptCount val="5"/>
                <c:pt idx="0">
                  <c:v>25371</c:v>
                </c:pt>
                <c:pt idx="1">
                  <c:v>27518</c:v>
                </c:pt>
                <c:pt idx="2">
                  <c:v>29771</c:v>
                </c:pt>
                <c:pt idx="3">
                  <c:v>31797</c:v>
                </c:pt>
                <c:pt idx="4">
                  <c:v>33172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899-1D4B-8663-A3234362FF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0238480"/>
        <c:axId val="205024019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Historical!$B$5:$F$5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2021</c:v>
                      </c:pt>
                      <c:pt idx="1">
                        <c:v>2022</c:v>
                      </c:pt>
                      <c:pt idx="2">
                        <c:v>2023</c:v>
                      </c:pt>
                      <c:pt idx="3">
                        <c:v>2024</c:v>
                      </c:pt>
                      <c:pt idx="4">
                        <c:v>2025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Historical!$B$6:$F$6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5899-1D4B-8663-A3234362FF97}"/>
                  </c:ext>
                </c:extLst>
              </c15:ser>
            </c15:filteredLineSeries>
            <c15:filteredLineSeries>
              <c15:ser>
                <c:idx val="1"/>
                <c:order val="1"/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Historical!$B$5:$F$5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2021</c:v>
                      </c:pt>
                      <c:pt idx="1">
                        <c:v>2022</c:v>
                      </c:pt>
                      <c:pt idx="2">
                        <c:v>2023</c:v>
                      </c:pt>
                      <c:pt idx="3">
                        <c:v>2024</c:v>
                      </c:pt>
                      <c:pt idx="4">
                        <c:v>2025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Historical!$B$7:$F$7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99-1D4B-8663-A3234362FF97}"/>
                  </c:ext>
                </c:extLst>
              </c15:ser>
            </c15:filteredLineSeries>
            <c15:filteredLineSeries>
              <c15:ser>
                <c:idx val="2"/>
                <c:order val="2"/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Historical!$B$5:$F$5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2021</c:v>
                      </c:pt>
                      <c:pt idx="1">
                        <c:v>2022</c:v>
                      </c:pt>
                      <c:pt idx="2">
                        <c:v>2023</c:v>
                      </c:pt>
                      <c:pt idx="3">
                        <c:v>2024</c:v>
                      </c:pt>
                      <c:pt idx="4">
                        <c:v>2025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Historical!$B$8:$F$8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5899-1D4B-8663-A3234362FF97}"/>
                  </c:ext>
                </c:extLst>
              </c15:ser>
            </c15:filteredLineSeries>
          </c:ext>
        </c:extLst>
      </c:lineChart>
      <c:catAx>
        <c:axId val="2050238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240192"/>
        <c:crossesAt val="0"/>
        <c:auto val="1"/>
        <c:lblAlgn val="ctr"/>
        <c:lblOffset val="100"/>
        <c:noMultiLvlLbl val="0"/>
      </c:catAx>
      <c:valAx>
        <c:axId val="2050240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238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Profitability Trends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Historical!$B$5:$F$5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Historical!$B$22:$F$22</c:f>
              <c:numCache>
                <c:formatCode>0.0%</c:formatCode>
                <c:ptCount val="5"/>
                <c:pt idx="0">
                  <c:v>0.16798707185369122</c:v>
                </c:pt>
                <c:pt idx="1">
                  <c:v>0.13943600552365723</c:v>
                </c:pt>
                <c:pt idx="2">
                  <c:v>0.16888918746431092</c:v>
                </c:pt>
                <c:pt idx="3">
                  <c:v>0.16746862911595434</c:v>
                </c:pt>
                <c:pt idx="4">
                  <c:v>0.1828349210177258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97-F34B-B00C-E1A46FFEF6C2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Historical!$B$5:$F$5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Historical!$B$30:$F$30</c:f>
              <c:numCache>
                <c:formatCode>0.0%</c:formatCode>
                <c:ptCount val="5"/>
                <c:pt idx="0">
                  <c:v>0.16432146939419021</c:v>
                </c:pt>
                <c:pt idx="1">
                  <c:v>8.7906097826876958E-2</c:v>
                </c:pt>
                <c:pt idx="2">
                  <c:v>0.14299999999999999</c:v>
                </c:pt>
                <c:pt idx="3">
                  <c:v>0.13</c:v>
                </c:pt>
                <c:pt idx="4">
                  <c:v>0.158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C97-F34B-B00C-E1A46FFEF6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3971567"/>
        <c:axId val="1773174623"/>
      </c:lineChart>
      <c:catAx>
        <c:axId val="1773971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3174623"/>
        <c:crosses val="autoZero"/>
        <c:auto val="1"/>
        <c:lblAlgn val="ctr"/>
        <c:lblOffset val="100"/>
        <c:noMultiLvlLbl val="0"/>
      </c:catAx>
      <c:valAx>
        <c:axId val="177317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3971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Free Cash Flow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Historical!$B$5:$F$5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Historical!$B$70:$F$70</c:f>
              <c:numCache>
                <c:formatCode>#,##0</c:formatCode>
                <c:ptCount val="5"/>
                <c:pt idx="0">
                  <c:v>4889</c:v>
                </c:pt>
                <c:pt idx="1">
                  <c:v>5107</c:v>
                </c:pt>
                <c:pt idx="2">
                  <c:v>4220</c:v>
                </c:pt>
                <c:pt idx="3">
                  <c:v>6767</c:v>
                </c:pt>
                <c:pt idx="4">
                  <c:v>5564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53-1149-ABF3-9C10EB2836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56000240"/>
        <c:axId val="1717157247"/>
      </c:barChart>
      <c:catAx>
        <c:axId val="2056000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7157247"/>
        <c:crosses val="autoZero"/>
        <c:auto val="1"/>
        <c:lblAlgn val="ctr"/>
        <c:lblOffset val="100"/>
        <c:noMultiLvlLbl val="0"/>
      </c:catAx>
      <c:valAx>
        <c:axId val="1717157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6000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88035</xdr:colOff>
      <xdr:row>4</xdr:row>
      <xdr:rowOff>143741</xdr:rowOff>
    </xdr:from>
    <xdr:to>
      <xdr:col>12</xdr:col>
      <xdr:colOff>546966</xdr:colOff>
      <xdr:row>17</xdr:row>
      <xdr:rowOff>130464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8D25FE-5277-FF2A-3169-DFBD65D06E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506556</xdr:colOff>
      <xdr:row>4</xdr:row>
      <xdr:rowOff>129310</xdr:rowOff>
    </xdr:from>
    <xdr:to>
      <xdr:col>20</xdr:col>
      <xdr:colOff>142874</xdr:colOff>
      <xdr:row>17</xdr:row>
      <xdr:rowOff>116033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54A1707-AA4D-D8E3-5DD9-BA07A0DE5E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116898</xdr:colOff>
      <xdr:row>19</xdr:row>
      <xdr:rowOff>201467</xdr:rowOff>
    </xdr:from>
    <xdr:to>
      <xdr:col>12</xdr:col>
      <xdr:colOff>575829</xdr:colOff>
      <xdr:row>32</xdr:row>
      <xdr:rowOff>188190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E985632-FAFB-6E54-181F-28B68F66A7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649D996-6833-C548-BBDE-C83189B87AE7}">
  <we:reference id="93533c7f-4dc5-468f-aba4-1c008e1a7ac8" version="1.0.0.8" store="EXCatalog" storeType="EXCatalog"/>
  <we:alternateReferences>
    <we:reference id="WA200003101" version="1.0.0.8" store="en-US" storeType="OMEX"/>
  </we:alternateReferences>
  <we:properties/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33F51-88E1-F149-8B26-0454EEA5096F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034D0-C719-E748-B3BE-D649B4BEDB89}">
  <dimension ref="A1:T103"/>
  <sheetViews>
    <sheetView zoomScale="88" workbookViewId="0">
      <selection activeCell="O23" sqref="O23"/>
    </sheetView>
  </sheetViews>
  <sheetFormatPr baseColWidth="10" defaultRowHeight="16" x14ac:dyDescent="0.2"/>
  <cols>
    <col min="1" max="1" width="31.6640625" style="9" customWidth="1"/>
    <col min="2" max="6" width="10.83203125" style="11"/>
  </cols>
  <sheetData>
    <row r="1" spans="1:20" ht="34" customHeight="1" x14ac:dyDescent="0.2">
      <c r="A1" s="35" t="s">
        <v>0</v>
      </c>
    </row>
    <row r="2" spans="1:20" x14ac:dyDescent="0.2">
      <c r="A2" s="35" t="s">
        <v>1</v>
      </c>
    </row>
    <row r="5" spans="1:20" x14ac:dyDescent="0.2">
      <c r="A5" s="9" t="s">
        <v>2</v>
      </c>
      <c r="B5" s="11">
        <v>2021</v>
      </c>
      <c r="C5" s="11">
        <v>2022</v>
      </c>
      <c r="D5" s="11">
        <v>2023</v>
      </c>
      <c r="E5" s="11">
        <v>2024</v>
      </c>
      <c r="F5" s="11">
        <v>2025</v>
      </c>
    </row>
    <row r="7" spans="1:20" ht="17" x14ac:dyDescent="0.25">
      <c r="A7" s="36" t="s">
        <v>3</v>
      </c>
    </row>
    <row r="8" spans="1:20" x14ac:dyDescent="0.2">
      <c r="J8" s="1"/>
      <c r="K8" s="1"/>
      <c r="L8" s="1"/>
      <c r="Q8" s="1"/>
      <c r="R8" s="1"/>
      <c r="S8" s="1"/>
      <c r="T8" s="1"/>
    </row>
    <row r="9" spans="1:20" ht="17" x14ac:dyDescent="0.25">
      <c r="A9" s="10" t="s">
        <v>4</v>
      </c>
      <c r="B9" s="12">
        <v>25371</v>
      </c>
      <c r="C9" s="12">
        <v>27518</v>
      </c>
      <c r="D9" s="12">
        <v>29771</v>
      </c>
      <c r="E9" s="12">
        <v>31797</v>
      </c>
      <c r="F9" s="12">
        <v>33172</v>
      </c>
      <c r="K9" s="3"/>
      <c r="L9" s="3"/>
      <c r="R9" s="3"/>
      <c r="S9" s="3"/>
      <c r="T9" s="3"/>
    </row>
    <row r="10" spans="1:20" ht="17" x14ac:dyDescent="0.25">
      <c r="A10" s="10" t="s">
        <v>5</v>
      </c>
      <c r="C10" s="14">
        <f>C9/B9-1</f>
        <v>8.4624177210200546E-2</v>
      </c>
      <c r="D10" s="14">
        <f>D9/C9-1</f>
        <v>8.1873682680427384E-2</v>
      </c>
      <c r="E10" s="15">
        <v>6.8000000000000005E-2</v>
      </c>
      <c r="F10" s="15">
        <v>4.2999999999999997E-2</v>
      </c>
      <c r="K10" s="3"/>
      <c r="L10" s="3"/>
      <c r="R10" s="3"/>
      <c r="S10" s="3"/>
      <c r="T10" s="3"/>
    </row>
    <row r="11" spans="1:20" x14ac:dyDescent="0.2">
      <c r="K11" s="3"/>
      <c r="L11" s="3"/>
      <c r="T11" s="3"/>
    </row>
    <row r="12" spans="1:20" ht="17" x14ac:dyDescent="0.25">
      <c r="A12" s="10" t="s">
        <v>6</v>
      </c>
      <c r="B12" s="12">
        <v>10315</v>
      </c>
      <c r="C12" s="12">
        <v>12173</v>
      </c>
      <c r="D12" s="12">
        <v>14385</v>
      </c>
      <c r="E12" s="12">
        <v>15697</v>
      </c>
      <c r="F12" s="12">
        <v>15987</v>
      </c>
      <c r="I12" s="6"/>
      <c r="K12" s="3"/>
      <c r="L12" s="3"/>
      <c r="R12" s="3"/>
      <c r="S12" s="3"/>
      <c r="T12" s="3"/>
    </row>
    <row r="13" spans="1:20" ht="17" x14ac:dyDescent="0.25">
      <c r="A13" s="10" t="s">
        <v>7</v>
      </c>
      <c r="B13" s="12">
        <v>1060</v>
      </c>
      <c r="C13" s="12">
        <v>1572</v>
      </c>
      <c r="D13" s="12">
        <v>1682</v>
      </c>
      <c r="E13" s="12">
        <v>1442</v>
      </c>
      <c r="F13" s="12">
        <v>1720</v>
      </c>
      <c r="K13" s="3"/>
      <c r="L13" s="3"/>
      <c r="R13" s="3"/>
      <c r="S13" s="3"/>
      <c r="T13" s="3"/>
    </row>
    <row r="14" spans="1:20" ht="17" x14ac:dyDescent="0.25">
      <c r="A14" s="10" t="s">
        <v>8</v>
      </c>
      <c r="B14" s="12">
        <v>2075</v>
      </c>
      <c r="C14" s="12">
        <v>2120</v>
      </c>
      <c r="D14" s="12">
        <v>1919</v>
      </c>
      <c r="E14" s="12">
        <v>1768</v>
      </c>
      <c r="F14" s="12">
        <v>1704</v>
      </c>
      <c r="K14" s="3"/>
      <c r="L14" s="3"/>
      <c r="R14" s="3"/>
      <c r="S14" s="3"/>
      <c r="T14" s="3"/>
    </row>
    <row r="15" spans="1:20" ht="17" x14ac:dyDescent="0.25">
      <c r="A15" s="10" t="s">
        <v>9</v>
      </c>
      <c r="B15" s="12">
        <v>2445</v>
      </c>
      <c r="C15" s="12">
        <v>2257</v>
      </c>
      <c r="D15" s="12">
        <v>1809</v>
      </c>
      <c r="E15" s="12">
        <v>2001</v>
      </c>
      <c r="F15" s="12">
        <v>2283</v>
      </c>
      <c r="K15" s="3"/>
      <c r="L15" s="3"/>
      <c r="R15" s="3"/>
      <c r="S15" s="3"/>
      <c r="T15" s="3"/>
    </row>
    <row r="16" spans="1:20" ht="17" x14ac:dyDescent="0.25">
      <c r="A16" s="10" t="s">
        <v>10</v>
      </c>
      <c r="B16" s="12">
        <v>3038</v>
      </c>
      <c r="C16" s="12">
        <v>3253</v>
      </c>
      <c r="D16" s="12">
        <v>2973</v>
      </c>
      <c r="E16" s="12">
        <v>2979</v>
      </c>
      <c r="F16" s="12">
        <v>3103</v>
      </c>
      <c r="R16" s="3"/>
      <c r="S16" s="3"/>
      <c r="T16" s="3"/>
    </row>
    <row r="17" spans="1:20" ht="17" x14ac:dyDescent="0.25">
      <c r="A17" s="10" t="s">
        <v>11</v>
      </c>
      <c r="B17" s="12">
        <v>2114</v>
      </c>
      <c r="C17" s="12">
        <v>2099</v>
      </c>
      <c r="D17" s="12">
        <v>2059</v>
      </c>
      <c r="E17" s="12">
        <v>2147</v>
      </c>
      <c r="F17" s="12">
        <v>1979</v>
      </c>
      <c r="K17" s="3"/>
      <c r="L17" s="3"/>
      <c r="R17" s="3"/>
      <c r="S17" s="3"/>
      <c r="T17" s="3"/>
    </row>
    <row r="18" spans="1:20" ht="17" x14ac:dyDescent="0.25">
      <c r="A18" s="10" t="s">
        <v>12</v>
      </c>
      <c r="B18" s="11">
        <v>62</v>
      </c>
      <c r="C18" s="11">
        <v>207</v>
      </c>
      <c r="D18" s="11">
        <v>-84</v>
      </c>
      <c r="E18" s="11">
        <v>438</v>
      </c>
      <c r="F18" s="11">
        <v>331</v>
      </c>
      <c r="K18" s="3"/>
      <c r="L18" s="3"/>
      <c r="R18" s="3"/>
    </row>
    <row r="19" spans="1:20" ht="17" x14ac:dyDescent="0.25">
      <c r="A19" s="10" t="s">
        <v>13</v>
      </c>
      <c r="B19" s="12">
        <v>21109</v>
      </c>
      <c r="C19" s="12">
        <v>23681</v>
      </c>
      <c r="D19" s="12">
        <v>24743</v>
      </c>
      <c r="E19" s="12">
        <v>26472</v>
      </c>
      <c r="F19" s="12">
        <v>27107</v>
      </c>
      <c r="R19" s="3"/>
      <c r="S19" s="3"/>
      <c r="T19" s="3"/>
    </row>
    <row r="20" spans="1:20" x14ac:dyDescent="0.2">
      <c r="K20" s="3"/>
      <c r="L20" s="3"/>
      <c r="R20" s="3"/>
      <c r="S20" s="3"/>
      <c r="T20" s="3"/>
    </row>
    <row r="21" spans="1:20" ht="17" x14ac:dyDescent="0.25">
      <c r="A21" s="10" t="s">
        <v>14</v>
      </c>
      <c r="B21" s="12">
        <v>4262</v>
      </c>
      <c r="C21" s="12">
        <v>3837</v>
      </c>
      <c r="D21" s="12">
        <v>5028</v>
      </c>
      <c r="E21" s="12">
        <v>5325</v>
      </c>
      <c r="F21" s="12">
        <v>6065</v>
      </c>
    </row>
    <row r="22" spans="1:20" ht="17" x14ac:dyDescent="0.25">
      <c r="A22" s="10" t="s">
        <v>15</v>
      </c>
      <c r="B22" s="14">
        <f>B21/B9</f>
        <v>0.16798707185369122</v>
      </c>
      <c r="C22" s="14">
        <f t="shared" ref="C22:F22" si="0">C21/C9</f>
        <v>0.13943600552365723</v>
      </c>
      <c r="D22" s="14">
        <f t="shared" si="0"/>
        <v>0.16888918746431092</v>
      </c>
      <c r="E22" s="14">
        <f t="shared" si="0"/>
        <v>0.16746862911595434</v>
      </c>
      <c r="F22" s="14">
        <f t="shared" si="0"/>
        <v>0.1828349210177258</v>
      </c>
      <c r="K22" s="3"/>
      <c r="L22" s="3"/>
      <c r="R22" s="3"/>
      <c r="S22" s="3"/>
      <c r="T22" s="3"/>
    </row>
    <row r="23" spans="1:20" x14ac:dyDescent="0.2">
      <c r="R23" s="3"/>
      <c r="S23" s="3"/>
      <c r="T23" s="3"/>
    </row>
    <row r="24" spans="1:20" ht="17" x14ac:dyDescent="0.25">
      <c r="A24" s="10" t="s">
        <v>16</v>
      </c>
      <c r="B24" s="11">
        <v>-163</v>
      </c>
      <c r="C24" s="11">
        <v>-471</v>
      </c>
      <c r="D24" s="11">
        <v>383</v>
      </c>
      <c r="E24" s="11">
        <v>4</v>
      </c>
      <c r="F24" s="11">
        <v>227</v>
      </c>
      <c r="K24" s="3"/>
      <c r="L24" s="3"/>
      <c r="R24" s="3"/>
      <c r="S24" s="3"/>
      <c r="T24" s="3"/>
    </row>
    <row r="25" spans="1:20" ht="17" x14ac:dyDescent="0.25">
      <c r="A25" s="10" t="s">
        <v>17</v>
      </c>
      <c r="B25" s="12">
        <v>4099</v>
      </c>
      <c r="C25" s="12">
        <v>3366</v>
      </c>
      <c r="D25" s="12">
        <v>5411</v>
      </c>
      <c r="E25" s="12">
        <v>5329</v>
      </c>
      <c r="F25" s="12">
        <v>6292</v>
      </c>
      <c r="R25" s="3"/>
      <c r="S25" s="3"/>
      <c r="T25" s="3"/>
    </row>
    <row r="26" spans="1:20" ht="17" x14ac:dyDescent="0.25">
      <c r="A26" s="10" t="s">
        <v>18</v>
      </c>
      <c r="B26" s="11">
        <v>-70</v>
      </c>
      <c r="C26" s="11">
        <v>947</v>
      </c>
      <c r="D26" s="12">
        <v>1165</v>
      </c>
      <c r="E26" s="12">
        <v>1182</v>
      </c>
      <c r="F26" s="12">
        <v>1059</v>
      </c>
      <c r="R26" s="3"/>
      <c r="S26" s="3"/>
      <c r="T26" s="3"/>
    </row>
    <row r="27" spans="1:20" ht="17" x14ac:dyDescent="0.25">
      <c r="A27" s="10" t="s">
        <v>19</v>
      </c>
      <c r="B27" s="14">
        <f>B26/B25</f>
        <v>-1.7077335935594046E-2</v>
      </c>
      <c r="C27" s="14">
        <f>C26/C25</f>
        <v>0.28134284016636957</v>
      </c>
      <c r="D27" s="14">
        <f>D26/D25</f>
        <v>0.21530216226205878</v>
      </c>
      <c r="E27" s="14">
        <f>E26/E25</f>
        <v>0.22180521673860012</v>
      </c>
      <c r="F27" s="14">
        <f>F26/F25</f>
        <v>0.16830896376350921</v>
      </c>
      <c r="R27" s="3"/>
      <c r="S27" s="3"/>
      <c r="T27" s="3"/>
    </row>
    <row r="28" spans="1:20" x14ac:dyDescent="0.2">
      <c r="R28" s="3"/>
      <c r="S28" s="3"/>
      <c r="T28" s="3"/>
    </row>
    <row r="29" spans="1:20" ht="17" x14ac:dyDescent="0.25">
      <c r="A29" s="10" t="s">
        <v>20</v>
      </c>
      <c r="B29" s="12">
        <v>4169</v>
      </c>
      <c r="C29" s="12">
        <v>2419</v>
      </c>
      <c r="D29" s="12">
        <v>4246</v>
      </c>
      <c r="E29" s="12">
        <v>4147</v>
      </c>
      <c r="F29" s="12">
        <v>5233</v>
      </c>
    </row>
    <row r="30" spans="1:20" ht="17" x14ac:dyDescent="0.25">
      <c r="A30" s="10" t="s">
        <v>21</v>
      </c>
      <c r="B30" s="14">
        <f>B29/B9</f>
        <v>0.16432146939419021</v>
      </c>
      <c r="C30" s="14">
        <f>C29/C9</f>
        <v>8.7906097826876958E-2</v>
      </c>
      <c r="D30" s="15">
        <v>0.14299999999999999</v>
      </c>
      <c r="E30" s="15">
        <v>0.13</v>
      </c>
      <c r="F30" s="15">
        <v>0.158</v>
      </c>
    </row>
    <row r="32" spans="1:20" ht="17" x14ac:dyDescent="0.25">
      <c r="A32" s="10" t="s">
        <v>22</v>
      </c>
      <c r="B32" s="11">
        <v>3.52</v>
      </c>
      <c r="C32" s="11">
        <v>2.09</v>
      </c>
      <c r="D32" s="11">
        <v>3.84</v>
      </c>
      <c r="E32" s="11">
        <v>3.99</v>
      </c>
      <c r="F32" s="11">
        <v>5.41</v>
      </c>
    </row>
    <row r="33" spans="1:14" ht="17" x14ac:dyDescent="0.25">
      <c r="A33" s="10" t="s">
        <v>23</v>
      </c>
      <c r="B33" s="12">
        <v>1186</v>
      </c>
      <c r="C33" s="12">
        <v>1158</v>
      </c>
      <c r="D33" s="12">
        <v>1107</v>
      </c>
      <c r="E33" s="12">
        <v>1039</v>
      </c>
      <c r="F33" s="11">
        <v>968</v>
      </c>
    </row>
    <row r="37" spans="1:14" x14ac:dyDescent="0.2">
      <c r="A37" s="37" t="s">
        <v>24</v>
      </c>
      <c r="K37" s="1"/>
      <c r="L37" s="1"/>
      <c r="M37" s="1"/>
    </row>
    <row r="38" spans="1:14" x14ac:dyDescent="0.2">
      <c r="L38" s="3"/>
      <c r="M38" s="3"/>
    </row>
    <row r="39" spans="1:14" x14ac:dyDescent="0.2">
      <c r="A39" s="9" t="s">
        <v>25</v>
      </c>
      <c r="B39" s="12">
        <v>5197</v>
      </c>
      <c r="C39" s="12">
        <v>7776</v>
      </c>
      <c r="D39" s="12">
        <v>9081</v>
      </c>
      <c r="E39" s="12">
        <v>6662</v>
      </c>
      <c r="F39" s="12">
        <v>8049</v>
      </c>
      <c r="L39" s="3"/>
      <c r="M39" s="3"/>
    </row>
    <row r="40" spans="1:14" x14ac:dyDescent="0.2">
      <c r="A40" s="9" t="s">
        <v>26</v>
      </c>
      <c r="B40" s="12">
        <v>4303</v>
      </c>
      <c r="C40" s="12">
        <v>3092</v>
      </c>
      <c r="D40" s="12">
        <v>4979</v>
      </c>
      <c r="E40" s="12">
        <v>4262</v>
      </c>
      <c r="F40" s="12">
        <v>2373</v>
      </c>
    </row>
    <row r="41" spans="1:14" x14ac:dyDescent="0.2">
      <c r="A41" s="9" t="s">
        <v>27</v>
      </c>
      <c r="B41" s="11">
        <v>800</v>
      </c>
      <c r="C41" s="11">
        <v>963</v>
      </c>
      <c r="D41" s="12">
        <v>1069</v>
      </c>
      <c r="E41" s="11">
        <v>984</v>
      </c>
      <c r="F41" s="11">
        <v>840</v>
      </c>
      <c r="L41" s="3"/>
      <c r="M41" s="3"/>
    </row>
    <row r="42" spans="1:14" x14ac:dyDescent="0.2">
      <c r="A42" s="9" t="s">
        <v>28</v>
      </c>
      <c r="B42" s="12">
        <v>4846</v>
      </c>
      <c r="C42" s="12">
        <v>7431</v>
      </c>
      <c r="D42" s="12">
        <v>5996</v>
      </c>
      <c r="E42" s="12">
        <v>6963</v>
      </c>
      <c r="F42" s="12">
        <v>8472</v>
      </c>
      <c r="L42" s="3"/>
      <c r="M42" s="3"/>
    </row>
    <row r="43" spans="1:14" x14ac:dyDescent="0.2">
      <c r="A43" s="9" t="s">
        <v>29</v>
      </c>
      <c r="B43" s="12">
        <v>36141</v>
      </c>
      <c r="C43" s="12">
        <v>36264</v>
      </c>
      <c r="D43" s="12">
        <v>38935</v>
      </c>
      <c r="E43" s="12">
        <v>37671</v>
      </c>
      <c r="F43" s="12">
        <v>38198</v>
      </c>
      <c r="J43" s="1"/>
      <c r="K43" s="1"/>
      <c r="L43" s="1"/>
      <c r="M43" s="1"/>
    </row>
    <row r="44" spans="1:14" x14ac:dyDescent="0.2">
      <c r="A44" s="9" t="s">
        <v>30</v>
      </c>
      <c r="B44" s="12">
        <v>52574</v>
      </c>
      <c r="C44" s="12">
        <v>57424</v>
      </c>
      <c r="D44" s="12">
        <v>62569</v>
      </c>
      <c r="E44" s="12">
        <v>58206</v>
      </c>
      <c r="F44" s="12">
        <v>59759</v>
      </c>
      <c r="K44" s="3"/>
      <c r="L44" s="3"/>
      <c r="M44" s="3"/>
    </row>
    <row r="45" spans="1:14" x14ac:dyDescent="0.2">
      <c r="K45" s="3"/>
      <c r="L45" s="3"/>
      <c r="M45" s="3"/>
      <c r="N45" s="1"/>
    </row>
    <row r="46" spans="1:14" x14ac:dyDescent="0.2">
      <c r="A46" s="9" t="s">
        <v>31</v>
      </c>
      <c r="B46" s="12">
        <v>6797</v>
      </c>
      <c r="C46" s="12">
        <v>5018</v>
      </c>
      <c r="D46" s="12">
        <v>3273</v>
      </c>
      <c r="E46" s="12">
        <v>4583</v>
      </c>
      <c r="F46" s="12">
        <v>4330</v>
      </c>
      <c r="G46" s="1"/>
      <c r="H46" s="1"/>
      <c r="I46" s="1"/>
      <c r="M46" s="3"/>
      <c r="N46" s="3"/>
    </row>
    <row r="47" spans="1:14" x14ac:dyDescent="0.2">
      <c r="A47" s="9" t="s">
        <v>32</v>
      </c>
      <c r="B47" s="12">
        <v>1909</v>
      </c>
      <c r="C47" s="12">
        <v>1730</v>
      </c>
      <c r="D47" s="12">
        <v>1488</v>
      </c>
      <c r="E47" s="12">
        <v>1508</v>
      </c>
      <c r="F47" s="12">
        <v>1700</v>
      </c>
      <c r="H47" s="3"/>
      <c r="I47" s="3"/>
      <c r="K47" s="3"/>
      <c r="L47" s="3"/>
      <c r="M47" s="3"/>
    </row>
    <row r="48" spans="1:14" x14ac:dyDescent="0.2">
      <c r="A48" s="9" t="s">
        <v>33</v>
      </c>
      <c r="B48" s="12">
        <v>11454</v>
      </c>
      <c r="C48" s="12">
        <v>11209</v>
      </c>
      <c r="D48" s="12">
        <v>11026</v>
      </c>
      <c r="E48" s="12">
        <v>10837</v>
      </c>
      <c r="F48" s="12">
        <v>10864</v>
      </c>
      <c r="H48" s="3"/>
      <c r="I48" s="3"/>
      <c r="K48" s="3"/>
      <c r="L48" s="3"/>
      <c r="M48" s="3"/>
    </row>
    <row r="49" spans="1:13" x14ac:dyDescent="0.2">
      <c r="A49" s="9" t="s">
        <v>34</v>
      </c>
      <c r="B49" s="12">
        <v>1332</v>
      </c>
      <c r="C49" s="11">
        <v>788</v>
      </c>
      <c r="D49" s="11">
        <v>537</v>
      </c>
      <c r="E49" s="11">
        <v>326</v>
      </c>
      <c r="F49" s="11">
        <v>208</v>
      </c>
      <c r="H49" s="3"/>
      <c r="I49" s="3"/>
      <c r="K49" s="3"/>
      <c r="L49" s="3"/>
      <c r="M49" s="3"/>
    </row>
    <row r="50" spans="1:13" x14ac:dyDescent="0.2">
      <c r="A50" s="9" t="s">
        <v>35</v>
      </c>
      <c r="B50" s="12">
        <v>1737</v>
      </c>
      <c r="C50" s="12">
        <v>2455</v>
      </c>
      <c r="D50" s="12">
        <v>3273</v>
      </c>
      <c r="E50" s="12">
        <v>3265</v>
      </c>
      <c r="F50" s="12">
        <v>3312</v>
      </c>
      <c r="H50" s="3"/>
      <c r="I50" s="3"/>
      <c r="K50" s="3"/>
      <c r="L50" s="3"/>
      <c r="M50" s="3"/>
    </row>
    <row r="51" spans="1:13" x14ac:dyDescent="0.2">
      <c r="A51" s="9" t="s">
        <v>36</v>
      </c>
      <c r="B51" s="12">
        <v>75803</v>
      </c>
      <c r="C51" s="12">
        <v>78624</v>
      </c>
      <c r="D51" s="12">
        <v>82166</v>
      </c>
      <c r="E51" s="12">
        <v>78725</v>
      </c>
      <c r="F51" s="12">
        <v>80173</v>
      </c>
      <c r="H51" s="3"/>
      <c r="I51" s="3"/>
      <c r="K51" s="3"/>
      <c r="L51" s="3"/>
      <c r="M51" s="3"/>
    </row>
    <row r="52" spans="1:13" x14ac:dyDescent="0.2">
      <c r="H52" s="3"/>
      <c r="I52" s="3"/>
      <c r="K52" s="3"/>
      <c r="L52" s="3"/>
      <c r="M52" s="3"/>
    </row>
    <row r="53" spans="1:13" x14ac:dyDescent="0.2">
      <c r="A53" s="9" t="s">
        <v>37</v>
      </c>
      <c r="B53" s="11">
        <v>197</v>
      </c>
      <c r="C53" s="11">
        <v>126</v>
      </c>
      <c r="D53" s="11">
        <v>139</v>
      </c>
      <c r="E53" s="11">
        <v>227</v>
      </c>
      <c r="F53" s="11">
        <v>240</v>
      </c>
      <c r="H53" s="3"/>
      <c r="I53" s="3"/>
      <c r="K53" s="3"/>
    </row>
    <row r="54" spans="1:13" x14ac:dyDescent="0.2">
      <c r="A54" s="9" t="s">
        <v>38</v>
      </c>
      <c r="B54" s="12">
        <v>38841</v>
      </c>
      <c r="C54" s="12">
        <v>40014</v>
      </c>
      <c r="D54" s="12">
        <v>41935</v>
      </c>
      <c r="E54" s="12">
        <v>39671</v>
      </c>
      <c r="F54" s="12">
        <v>40198</v>
      </c>
      <c r="K54" s="3"/>
      <c r="L54" s="3"/>
      <c r="M54" s="3"/>
    </row>
    <row r="55" spans="1:13" x14ac:dyDescent="0.2">
      <c r="A55" s="9" t="s">
        <v>39</v>
      </c>
      <c r="B55" s="12">
        <v>3991</v>
      </c>
      <c r="C55" s="12">
        <v>4868</v>
      </c>
      <c r="D55" s="12">
        <v>6392</v>
      </c>
      <c r="E55" s="12">
        <v>5592</v>
      </c>
      <c r="F55" s="12">
        <v>6005</v>
      </c>
      <c r="H55" s="3"/>
      <c r="I55" s="3"/>
      <c r="K55" s="3"/>
      <c r="L55" s="3"/>
      <c r="M55" s="3"/>
    </row>
    <row r="56" spans="1:13" x14ac:dyDescent="0.2">
      <c r="A56" s="9" t="s">
        <v>40</v>
      </c>
      <c r="B56" s="12">
        <v>43029</v>
      </c>
      <c r="C56" s="12">
        <v>45008</v>
      </c>
      <c r="D56" s="12">
        <v>48466</v>
      </c>
      <c r="E56" s="12">
        <v>45490</v>
      </c>
      <c r="F56" s="12">
        <v>46443</v>
      </c>
      <c r="H56" s="3"/>
      <c r="I56" s="3"/>
    </row>
    <row r="57" spans="1:13" x14ac:dyDescent="0.2">
      <c r="K57" s="3"/>
      <c r="L57" s="3"/>
      <c r="M57" s="3"/>
    </row>
    <row r="58" spans="1:13" x14ac:dyDescent="0.2">
      <c r="A58" s="9" t="s">
        <v>41</v>
      </c>
      <c r="B58" s="12">
        <v>2998</v>
      </c>
      <c r="C58" s="12">
        <v>2925</v>
      </c>
      <c r="D58" s="12">
        <v>2973</v>
      </c>
      <c r="E58" s="12">
        <v>2939</v>
      </c>
      <c r="F58" s="12">
        <v>3487</v>
      </c>
      <c r="H58" s="3"/>
      <c r="I58" s="3"/>
      <c r="K58" s="3"/>
      <c r="L58" s="3"/>
      <c r="M58" s="3"/>
    </row>
    <row r="59" spans="1:13" x14ac:dyDescent="0.2">
      <c r="A59" s="9" t="s">
        <v>42</v>
      </c>
      <c r="B59" s="12">
        <v>8049</v>
      </c>
      <c r="C59" s="12">
        <v>10417</v>
      </c>
      <c r="D59" s="12">
        <v>9676</v>
      </c>
      <c r="E59" s="12">
        <v>9879</v>
      </c>
      <c r="F59" s="12">
        <v>9987</v>
      </c>
      <c r="H59" s="3"/>
      <c r="I59" s="3"/>
      <c r="K59" s="3"/>
      <c r="L59" s="3"/>
      <c r="M59" s="3"/>
    </row>
    <row r="60" spans="1:13" x14ac:dyDescent="0.2">
      <c r="A60" s="9" t="s">
        <v>43</v>
      </c>
      <c r="B60" s="12">
        <v>54076</v>
      </c>
      <c r="C60" s="12">
        <v>58350</v>
      </c>
      <c r="D60" s="12">
        <v>61115</v>
      </c>
      <c r="E60" s="12">
        <v>58308</v>
      </c>
      <c r="F60" s="12">
        <v>59917</v>
      </c>
      <c r="H60" s="3"/>
      <c r="I60" s="3"/>
      <c r="K60" s="3"/>
      <c r="L60" s="3"/>
      <c r="M60" s="3"/>
    </row>
    <row r="61" spans="1:13" x14ac:dyDescent="0.2">
      <c r="E61" s="12"/>
      <c r="F61" s="12"/>
      <c r="K61" s="3"/>
      <c r="L61" s="3"/>
      <c r="M61" s="3"/>
    </row>
    <row r="62" spans="1:13" x14ac:dyDescent="0.2">
      <c r="A62" s="9" t="s">
        <v>44</v>
      </c>
      <c r="B62" s="12">
        <v>21727</v>
      </c>
      <c r="C62" s="12">
        <v>20274</v>
      </c>
      <c r="D62" s="12">
        <v>21051</v>
      </c>
      <c r="E62" s="12">
        <v>20417</v>
      </c>
      <c r="F62" s="12">
        <v>20256</v>
      </c>
      <c r="H62" s="3"/>
      <c r="I62" s="3"/>
      <c r="K62" s="3"/>
      <c r="L62" s="3"/>
      <c r="M62" s="3"/>
    </row>
    <row r="63" spans="1:13" x14ac:dyDescent="0.2">
      <c r="K63" s="3"/>
      <c r="L63" s="3"/>
      <c r="M63" s="3"/>
    </row>
    <row r="66" spans="1:18" x14ac:dyDescent="0.2">
      <c r="A66" s="37" t="s">
        <v>45</v>
      </c>
    </row>
    <row r="67" spans="1:18" x14ac:dyDescent="0.2">
      <c r="M67" s="1"/>
      <c r="N67" s="1"/>
      <c r="O67" s="1"/>
    </row>
    <row r="68" spans="1:18" x14ac:dyDescent="0.2">
      <c r="A68" s="9" t="s">
        <v>46</v>
      </c>
      <c r="B68" s="12">
        <v>5797</v>
      </c>
      <c r="C68" s="12">
        <v>5813</v>
      </c>
      <c r="D68" s="12">
        <v>4843</v>
      </c>
      <c r="E68" s="12">
        <v>7450</v>
      </c>
      <c r="F68" s="12">
        <v>6416</v>
      </c>
      <c r="N68" s="3"/>
      <c r="O68" s="3"/>
    </row>
    <row r="69" spans="1:18" x14ac:dyDescent="0.2">
      <c r="A69" s="9" t="s">
        <v>47</v>
      </c>
      <c r="B69" s="11">
        <v>908</v>
      </c>
      <c r="C69" s="11">
        <v>706</v>
      </c>
      <c r="D69" s="11">
        <v>623</v>
      </c>
      <c r="E69" s="11">
        <v>683</v>
      </c>
      <c r="F69" s="11">
        <v>852</v>
      </c>
    </row>
    <row r="70" spans="1:18" x14ac:dyDescent="0.2">
      <c r="A70" s="9" t="s">
        <v>48</v>
      </c>
      <c r="B70" s="12">
        <f>B68-B69</f>
        <v>4889</v>
      </c>
      <c r="C70" s="12">
        <f t="shared" ref="C70:F70" si="1">C68-C69</f>
        <v>5107</v>
      </c>
      <c r="D70" s="12">
        <f t="shared" si="1"/>
        <v>4220</v>
      </c>
      <c r="E70" s="12">
        <f t="shared" si="1"/>
        <v>6767</v>
      </c>
      <c r="F70" s="12">
        <f t="shared" si="1"/>
        <v>5564</v>
      </c>
      <c r="N70" s="3"/>
      <c r="O70" s="3"/>
    </row>
    <row r="71" spans="1:18" x14ac:dyDescent="0.2">
      <c r="A71" s="9" t="s">
        <v>49</v>
      </c>
      <c r="B71" s="14">
        <f>B70/B9</f>
        <v>0.19270032714516575</v>
      </c>
      <c r="C71" s="14">
        <f t="shared" ref="C71:F71" si="2">C70/C9</f>
        <v>0.18558761537902463</v>
      </c>
      <c r="D71" s="14">
        <f t="shared" si="2"/>
        <v>0.14174868160290216</v>
      </c>
      <c r="E71" s="14">
        <f t="shared" si="2"/>
        <v>0.21281881938547662</v>
      </c>
      <c r="F71" s="14">
        <f t="shared" si="2"/>
        <v>0.16773182201856987</v>
      </c>
      <c r="N71" s="3"/>
      <c r="O71" s="3"/>
    </row>
    <row r="72" spans="1:18" x14ac:dyDescent="0.2">
      <c r="N72" s="3"/>
      <c r="O72" s="3"/>
    </row>
    <row r="73" spans="1:18" x14ac:dyDescent="0.2">
      <c r="A73" s="9" t="s">
        <v>50</v>
      </c>
      <c r="B73" s="12">
        <v>3400</v>
      </c>
      <c r="C73" s="12">
        <v>4200</v>
      </c>
      <c r="D73" s="12">
        <v>5002</v>
      </c>
      <c r="E73" s="12">
        <v>6047</v>
      </c>
      <c r="F73" s="12">
        <v>6052</v>
      </c>
    </row>
    <row r="74" spans="1:18" x14ac:dyDescent="0.2">
      <c r="A74" s="9" t="s">
        <v>51</v>
      </c>
      <c r="B74" s="12">
        <v>1376</v>
      </c>
      <c r="C74" s="12">
        <v>1261</v>
      </c>
      <c r="D74" s="12">
        <v>1475</v>
      </c>
      <c r="E74" s="12">
        <v>1230</v>
      </c>
      <c r="F74" s="12">
        <v>1002</v>
      </c>
    </row>
    <row r="75" spans="1:18" x14ac:dyDescent="0.2">
      <c r="A75" s="9" t="s">
        <v>52</v>
      </c>
      <c r="B75" s="12">
        <v>1265</v>
      </c>
      <c r="C75" s="12">
        <v>1317</v>
      </c>
      <c r="D75" s="12">
        <v>1072</v>
      </c>
      <c r="E75" s="12">
        <v>1032</v>
      </c>
      <c r="F75" s="11">
        <v>963</v>
      </c>
    </row>
    <row r="78" spans="1:18" x14ac:dyDescent="0.2">
      <c r="A78" s="37" t="s">
        <v>53</v>
      </c>
      <c r="O78" s="1"/>
      <c r="P78" s="1"/>
      <c r="Q78" s="1"/>
      <c r="R78" s="1"/>
    </row>
    <row r="79" spans="1:18" x14ac:dyDescent="0.2">
      <c r="P79" s="3"/>
      <c r="Q79" s="3"/>
      <c r="R79" s="3"/>
    </row>
    <row r="80" spans="1:18" x14ac:dyDescent="0.2">
      <c r="A80" s="9" t="s">
        <v>54</v>
      </c>
      <c r="B80" s="14">
        <f>(F9/B9)^(1/4)-1</f>
        <v>6.9322039034463989E-2</v>
      </c>
      <c r="C80" s="14"/>
      <c r="D80" s="14"/>
      <c r="E80" s="14"/>
      <c r="F80" s="14"/>
    </row>
    <row r="81" spans="1:18" x14ac:dyDescent="0.2">
      <c r="A81" s="9" t="s">
        <v>55</v>
      </c>
      <c r="B81" s="14">
        <f>(F32/B32)^(1/4)-1</f>
        <v>0.11343187603479699</v>
      </c>
      <c r="P81" s="3"/>
      <c r="Q81" s="3"/>
      <c r="R81" s="3"/>
    </row>
    <row r="82" spans="1:18" x14ac:dyDescent="0.2">
      <c r="A82" s="9" t="s">
        <v>56</v>
      </c>
      <c r="B82" s="15">
        <f>F22-B22</f>
        <v>1.4847849164034588E-2</v>
      </c>
      <c r="P82" s="3"/>
      <c r="Q82" s="3"/>
      <c r="R82" s="3"/>
    </row>
    <row r="83" spans="1:18" x14ac:dyDescent="0.2">
      <c r="A83" s="9" t="s">
        <v>57</v>
      </c>
      <c r="B83" s="15">
        <f>F30-B30</f>
        <v>-6.3214693941902045E-3</v>
      </c>
      <c r="P83" s="3"/>
      <c r="Q83" s="3"/>
    </row>
    <row r="84" spans="1:18" x14ac:dyDescent="0.2">
      <c r="A84" s="9" t="s">
        <v>58</v>
      </c>
      <c r="B84" s="14">
        <f>(F70/B70)^(1/4)-1</f>
        <v>3.2860742887826921E-2</v>
      </c>
    </row>
    <row r="85" spans="1:18" x14ac:dyDescent="0.2">
      <c r="A85" s="9" t="s">
        <v>59</v>
      </c>
      <c r="B85" s="14">
        <f>F70/F29</f>
        <v>1.063252436460921</v>
      </c>
    </row>
    <row r="86" spans="1:18" x14ac:dyDescent="0.2">
      <c r="A86" s="9" t="s">
        <v>60</v>
      </c>
      <c r="B86" s="14">
        <f>F59/F62</f>
        <v>0.49303909952606634</v>
      </c>
    </row>
    <row r="87" spans="1:18" x14ac:dyDescent="0.2">
      <c r="A87" s="9" t="s">
        <v>61</v>
      </c>
      <c r="B87" s="14">
        <f>F33/B33-1</f>
        <v>-0.18381112984822934</v>
      </c>
    </row>
    <row r="88" spans="1:18" x14ac:dyDescent="0.2">
      <c r="A88" s="9" t="s">
        <v>62</v>
      </c>
      <c r="B88" s="14">
        <f>F73/F70</f>
        <v>1.0877066858375271</v>
      </c>
    </row>
    <row r="91" spans="1:18" x14ac:dyDescent="0.2">
      <c r="A91" s="35" t="s">
        <v>63</v>
      </c>
    </row>
    <row r="93" spans="1:18" x14ac:dyDescent="0.2">
      <c r="A93" s="9" t="s">
        <v>64</v>
      </c>
    </row>
    <row r="95" spans="1:18" x14ac:dyDescent="0.2">
      <c r="A95" s="9" t="s">
        <v>65</v>
      </c>
    </row>
    <row r="97" spans="1:1" x14ac:dyDescent="0.2">
      <c r="A97" s="9" t="s">
        <v>66</v>
      </c>
    </row>
    <row r="99" spans="1:1" x14ac:dyDescent="0.2">
      <c r="A99" s="9" t="s">
        <v>67</v>
      </c>
    </row>
    <row r="101" spans="1:1" x14ac:dyDescent="0.2">
      <c r="A101" s="9" t="s">
        <v>68</v>
      </c>
    </row>
    <row r="103" spans="1:1" x14ac:dyDescent="0.2">
      <c r="A103" s="9" t="s">
        <v>69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B4847-3F28-A146-86FE-242527FA68BA}">
  <dimension ref="A5:J27"/>
  <sheetViews>
    <sheetView workbookViewId="0">
      <selection activeCell="G17" sqref="G17"/>
    </sheetView>
  </sheetViews>
  <sheetFormatPr baseColWidth="10" defaultRowHeight="16" x14ac:dyDescent="0.2"/>
  <cols>
    <col min="1" max="1" width="24.1640625" customWidth="1"/>
    <col min="2" max="2" width="11.5" style="11" bestFit="1" customWidth="1"/>
    <col min="3" max="7" width="10.83203125" style="11"/>
  </cols>
  <sheetData>
    <row r="5" spans="1:7" x14ac:dyDescent="0.2">
      <c r="B5" s="39" t="s">
        <v>70</v>
      </c>
      <c r="C5" s="39" t="s">
        <v>71</v>
      </c>
      <c r="D5" s="39" t="s">
        <v>72</v>
      </c>
      <c r="E5" s="39" t="s">
        <v>73</v>
      </c>
      <c r="F5" s="39" t="s">
        <v>74</v>
      </c>
      <c r="G5" s="39" t="s">
        <v>75</v>
      </c>
    </row>
    <row r="7" spans="1:7" x14ac:dyDescent="0.2">
      <c r="A7" s="38" t="s">
        <v>76</v>
      </c>
    </row>
    <row r="9" spans="1:7" x14ac:dyDescent="0.2">
      <c r="A9" t="s">
        <v>77</v>
      </c>
      <c r="B9" s="20">
        <f>Historical!F9</f>
        <v>33172</v>
      </c>
      <c r="C9" s="20">
        <f>B9*(1+C10)</f>
        <v>34830.6</v>
      </c>
      <c r="D9" s="20">
        <f t="shared" ref="D9:G9" si="0">C9*(1+D10)</f>
        <v>36746.282999999996</v>
      </c>
      <c r="E9" s="20">
        <f t="shared" si="0"/>
        <v>38767.328564999996</v>
      </c>
      <c r="F9" s="20">
        <f t="shared" si="0"/>
        <v>40705.694993249999</v>
      </c>
      <c r="G9" s="20">
        <f t="shared" si="0"/>
        <v>42537.45126794625</v>
      </c>
    </row>
    <row r="10" spans="1:7" x14ac:dyDescent="0.2">
      <c r="A10" t="s">
        <v>5</v>
      </c>
      <c r="C10" s="21">
        <v>0.05</v>
      </c>
      <c r="D10" s="21">
        <v>5.5E-2</v>
      </c>
      <c r="E10" s="21">
        <v>5.5E-2</v>
      </c>
      <c r="F10" s="21">
        <v>0.05</v>
      </c>
      <c r="G10" s="21">
        <v>4.4999999999999998E-2</v>
      </c>
    </row>
    <row r="12" spans="1:7" x14ac:dyDescent="0.2">
      <c r="A12" t="s">
        <v>15</v>
      </c>
      <c r="B12" s="14">
        <f>Historical!F22</f>
        <v>0.1828349210177258</v>
      </c>
      <c r="C12" s="15">
        <v>0.185</v>
      </c>
      <c r="D12" s="15">
        <v>0.188</v>
      </c>
      <c r="E12" s="15">
        <v>0.19</v>
      </c>
      <c r="F12" s="15">
        <v>0.192</v>
      </c>
      <c r="G12" s="15">
        <v>0.193</v>
      </c>
    </row>
    <row r="13" spans="1:7" x14ac:dyDescent="0.2">
      <c r="A13" t="s">
        <v>14</v>
      </c>
      <c r="C13" s="22">
        <f>C9*C12</f>
        <v>6443.6610000000001</v>
      </c>
      <c r="D13" s="22">
        <f t="shared" ref="D13:G13" si="1">D9*D12</f>
        <v>6908.3012039999994</v>
      </c>
      <c r="E13" s="22">
        <f t="shared" si="1"/>
        <v>7365.7924273499993</v>
      </c>
      <c r="F13" s="22">
        <f t="shared" si="1"/>
        <v>7815.4934387040003</v>
      </c>
      <c r="G13" s="22">
        <f t="shared" si="1"/>
        <v>8209.728094713626</v>
      </c>
    </row>
    <row r="15" spans="1:7" x14ac:dyDescent="0.2">
      <c r="A15" t="s">
        <v>78</v>
      </c>
      <c r="C15" s="15">
        <v>0.19</v>
      </c>
      <c r="D15" s="15">
        <v>0.19</v>
      </c>
      <c r="E15" s="15">
        <v>0.19</v>
      </c>
      <c r="F15" s="15">
        <v>0.19</v>
      </c>
      <c r="G15" s="15">
        <v>0.19</v>
      </c>
    </row>
    <row r="16" spans="1:7" x14ac:dyDescent="0.2">
      <c r="A16" t="s">
        <v>79</v>
      </c>
      <c r="C16" s="22">
        <f>C13*(1-C15)</f>
        <v>5219.3654100000003</v>
      </c>
      <c r="D16" s="22">
        <f t="shared" ref="D16:G16" si="2">D13*(1-D15)</f>
        <v>5595.7239752400001</v>
      </c>
      <c r="E16" s="22">
        <f t="shared" si="2"/>
        <v>5966.2918661534995</v>
      </c>
      <c r="F16" s="22">
        <f t="shared" si="2"/>
        <v>6330.5496853502409</v>
      </c>
      <c r="G16" s="22">
        <f t="shared" si="2"/>
        <v>6649.8797567180372</v>
      </c>
    </row>
    <row r="18" spans="1:10" x14ac:dyDescent="0.2">
      <c r="A18" t="s">
        <v>80</v>
      </c>
      <c r="B18" s="11">
        <f>Historical!F75</f>
        <v>963</v>
      </c>
      <c r="C18" s="22">
        <f>C9*C19</f>
        <v>975.2568</v>
      </c>
      <c r="D18" s="22">
        <f t="shared" ref="D18:G18" si="3">D9*D19</f>
        <v>1028.8959239999999</v>
      </c>
      <c r="E18" s="22">
        <f t="shared" si="3"/>
        <v>1085.4851998199999</v>
      </c>
      <c r="F18" s="22">
        <f t="shared" si="3"/>
        <v>1139.7594598109999</v>
      </c>
      <c r="G18" s="22">
        <f t="shared" si="3"/>
        <v>1191.048635502495</v>
      </c>
    </row>
    <row r="19" spans="1:10" x14ac:dyDescent="0.2">
      <c r="A19" t="s">
        <v>81</v>
      </c>
      <c r="B19" s="14">
        <f>B18/B9</f>
        <v>2.9030507657060171E-2</v>
      </c>
      <c r="C19" s="15">
        <v>2.8000000000000001E-2</v>
      </c>
      <c r="D19" s="15">
        <v>2.8000000000000001E-2</v>
      </c>
      <c r="E19" s="15">
        <v>2.8000000000000001E-2</v>
      </c>
      <c r="F19" s="15">
        <v>2.8000000000000001E-2</v>
      </c>
      <c r="G19" s="15">
        <v>2.8000000000000001E-2</v>
      </c>
    </row>
    <row r="21" spans="1:10" ht="17" x14ac:dyDescent="0.25">
      <c r="A21" t="s">
        <v>82</v>
      </c>
      <c r="B21" s="11">
        <f>Historical!F69</f>
        <v>852</v>
      </c>
      <c r="C21" s="23">
        <f>C9*C22</f>
        <v>905.59559999999988</v>
      </c>
      <c r="D21" s="23">
        <f t="shared" ref="D21:G21" si="4">D9*D22</f>
        <v>955.4033579999998</v>
      </c>
      <c r="E21" s="23">
        <f t="shared" si="4"/>
        <v>1007.9505426899999</v>
      </c>
      <c r="F21" s="23">
        <f t="shared" si="4"/>
        <v>1058.3480698245</v>
      </c>
      <c r="G21" s="23">
        <f t="shared" si="4"/>
        <v>1105.9737329666025</v>
      </c>
      <c r="J21" s="8"/>
    </row>
    <row r="22" spans="1:10" x14ac:dyDescent="0.2">
      <c r="A22" t="s">
        <v>83</v>
      </c>
      <c r="B22" s="15">
        <v>2.5999999999999999E-2</v>
      </c>
      <c r="C22" s="14">
        <v>2.5999999999999999E-2</v>
      </c>
      <c r="D22" s="24">
        <v>2.5999999999999999E-2</v>
      </c>
      <c r="E22" s="24">
        <v>2.5999999999999999E-2</v>
      </c>
      <c r="F22" s="24">
        <v>2.5999999999999999E-2</v>
      </c>
      <c r="G22" s="24">
        <v>2.5999999999999999E-2</v>
      </c>
    </row>
    <row r="24" spans="1:10" ht="17" x14ac:dyDescent="0.25">
      <c r="A24" t="s">
        <v>84</v>
      </c>
      <c r="C24" s="23">
        <f>C9*C25</f>
        <v>348.30599999999998</v>
      </c>
      <c r="D24" s="23">
        <f t="shared" ref="D24:G24" si="5">D9*D25</f>
        <v>367.46282999999994</v>
      </c>
      <c r="E24" s="23">
        <f t="shared" si="5"/>
        <v>387.67328564999997</v>
      </c>
      <c r="F24" s="23">
        <f t="shared" si="5"/>
        <v>407.0569499325</v>
      </c>
      <c r="G24" s="23">
        <f t="shared" si="5"/>
        <v>425.3745126794625</v>
      </c>
    </row>
    <row r="25" spans="1:10" x14ac:dyDescent="0.2">
      <c r="A25" t="s">
        <v>85</v>
      </c>
      <c r="C25" s="21">
        <v>0.01</v>
      </c>
      <c r="D25" s="21">
        <v>0.01</v>
      </c>
      <c r="E25" s="21">
        <v>0.01</v>
      </c>
      <c r="F25" s="21">
        <v>0.01</v>
      </c>
      <c r="G25" s="21">
        <v>0.01</v>
      </c>
    </row>
    <row r="27" spans="1:10" x14ac:dyDescent="0.2">
      <c r="A27" t="s">
        <v>86</v>
      </c>
      <c r="C27" s="22">
        <f>C16+C18-C21-C24</f>
        <v>4940.7206100000012</v>
      </c>
      <c r="D27" s="22">
        <f t="shared" ref="D27:G27" si="6">D16+D18-D21-D24</f>
        <v>5301.7537112400005</v>
      </c>
      <c r="E27" s="22">
        <f t="shared" si="6"/>
        <v>5656.1532376334999</v>
      </c>
      <c r="F27" s="22">
        <f t="shared" si="6"/>
        <v>6004.9041254042404</v>
      </c>
      <c r="G27" s="22">
        <f t="shared" si="6"/>
        <v>6309.5801465744671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E3A4D-A15F-9B45-9FE6-FF4CF6527686}">
  <dimension ref="A1:H33"/>
  <sheetViews>
    <sheetView tabSelected="1" workbookViewId="0">
      <selection activeCell="J22" sqref="J22"/>
    </sheetView>
  </sheetViews>
  <sheetFormatPr baseColWidth="10" defaultRowHeight="16" x14ac:dyDescent="0.2"/>
  <cols>
    <col min="1" max="1" width="21.6640625" customWidth="1"/>
    <col min="4" max="4" width="24.6640625" customWidth="1"/>
  </cols>
  <sheetData>
    <row r="1" spans="1:8" x14ac:dyDescent="0.2">
      <c r="A1" s="50" t="s">
        <v>153</v>
      </c>
      <c r="B1" s="50"/>
      <c r="C1" s="50"/>
      <c r="D1" s="50"/>
      <c r="E1" s="50"/>
      <c r="F1" s="50"/>
      <c r="G1" s="50"/>
      <c r="H1" s="50"/>
    </row>
    <row r="2" spans="1:8" x14ac:dyDescent="0.2">
      <c r="A2" s="50"/>
      <c r="B2" s="50"/>
      <c r="C2" s="50"/>
      <c r="D2" s="50"/>
      <c r="E2" s="50"/>
      <c r="F2" s="50"/>
      <c r="G2" s="50"/>
      <c r="H2" s="50"/>
    </row>
    <row r="3" spans="1:8" x14ac:dyDescent="0.2">
      <c r="A3" s="51" t="s">
        <v>154</v>
      </c>
      <c r="B3" s="51"/>
      <c r="C3" s="51"/>
      <c r="D3" s="51"/>
      <c r="E3" s="51"/>
      <c r="F3" s="51"/>
      <c r="G3" s="51"/>
      <c r="H3" s="51"/>
    </row>
    <row r="4" spans="1:8" x14ac:dyDescent="0.2">
      <c r="A4" s="42"/>
      <c r="B4" s="42"/>
      <c r="C4" s="42"/>
      <c r="D4" s="42"/>
      <c r="E4" s="42"/>
      <c r="F4" s="42"/>
      <c r="G4" s="42"/>
      <c r="H4" s="42"/>
    </row>
    <row r="5" spans="1:8" x14ac:dyDescent="0.2">
      <c r="A5" s="52" t="s">
        <v>155</v>
      </c>
      <c r="B5" s="52"/>
      <c r="C5" s="52"/>
      <c r="D5" s="52"/>
      <c r="E5" s="52"/>
      <c r="F5" s="52"/>
      <c r="G5" s="52"/>
      <c r="H5" s="52"/>
    </row>
    <row r="6" spans="1:8" x14ac:dyDescent="0.2">
      <c r="A6" s="42"/>
      <c r="B6" s="42"/>
      <c r="C6" s="42"/>
      <c r="D6" s="42"/>
      <c r="E6" s="42"/>
      <c r="F6" s="42"/>
      <c r="G6" s="42"/>
      <c r="H6" s="42"/>
    </row>
    <row r="7" spans="1:8" x14ac:dyDescent="0.2">
      <c r="A7" s="42" t="s">
        <v>151</v>
      </c>
      <c r="B7" s="43">
        <v>52.53</v>
      </c>
      <c r="C7" s="42"/>
      <c r="D7" s="42" t="s">
        <v>152</v>
      </c>
      <c r="E7" s="44">
        <v>0.65800000000000003</v>
      </c>
      <c r="F7" s="42"/>
      <c r="G7" s="42"/>
      <c r="H7" s="42"/>
    </row>
    <row r="8" spans="1:8" x14ac:dyDescent="0.2">
      <c r="A8" s="42" t="s">
        <v>156</v>
      </c>
      <c r="B8" s="43">
        <v>87.08</v>
      </c>
      <c r="C8" s="42"/>
      <c r="D8" s="42" t="s">
        <v>157</v>
      </c>
      <c r="E8" s="44">
        <v>6.9000000000000006E-2</v>
      </c>
      <c r="F8" s="42"/>
      <c r="G8" s="42"/>
      <c r="H8" s="42"/>
    </row>
    <row r="9" spans="1:8" x14ac:dyDescent="0.2">
      <c r="A9" s="42" t="s">
        <v>158</v>
      </c>
      <c r="B9" s="43">
        <v>92.74</v>
      </c>
      <c r="C9" s="42"/>
      <c r="D9" s="42" t="s">
        <v>159</v>
      </c>
      <c r="E9" s="44">
        <v>0.113</v>
      </c>
      <c r="F9" s="42"/>
      <c r="G9" s="42"/>
      <c r="H9" s="42"/>
    </row>
    <row r="10" spans="1:8" x14ac:dyDescent="0.2">
      <c r="A10" s="42" t="s">
        <v>160</v>
      </c>
      <c r="B10" s="43">
        <v>65.67</v>
      </c>
      <c r="C10" s="42"/>
      <c r="D10" s="42" t="s">
        <v>161</v>
      </c>
      <c r="E10" s="44">
        <v>0.183</v>
      </c>
      <c r="F10" s="42"/>
      <c r="G10" s="42"/>
      <c r="H10" s="42"/>
    </row>
    <row r="11" spans="1:8" x14ac:dyDescent="0.2">
      <c r="A11" s="42" t="s">
        <v>162</v>
      </c>
      <c r="B11" s="43">
        <v>49.17</v>
      </c>
      <c r="C11" s="42"/>
      <c r="D11" s="42" t="s">
        <v>163</v>
      </c>
      <c r="E11" s="44">
        <v>0.16800000000000001</v>
      </c>
      <c r="F11" s="42"/>
      <c r="G11" s="42"/>
      <c r="H11" s="42"/>
    </row>
    <row r="12" spans="1:8" x14ac:dyDescent="0.2">
      <c r="A12" s="42"/>
      <c r="B12" s="42"/>
      <c r="C12" s="42"/>
      <c r="D12" s="42"/>
      <c r="E12" s="42"/>
      <c r="F12" s="42"/>
      <c r="G12" s="42"/>
      <c r="H12" s="42"/>
    </row>
    <row r="13" spans="1:8" x14ac:dyDescent="0.2">
      <c r="A13" s="53" t="s">
        <v>164</v>
      </c>
      <c r="B13" s="53"/>
      <c r="C13" s="53"/>
      <c r="D13" s="53"/>
      <c r="E13" s="53"/>
      <c r="F13" s="53"/>
      <c r="G13" s="53"/>
      <c r="H13" s="53"/>
    </row>
    <row r="14" spans="1:8" x14ac:dyDescent="0.2">
      <c r="A14" s="42"/>
      <c r="B14" s="42"/>
      <c r="C14" s="42"/>
      <c r="D14" s="42"/>
      <c r="E14" s="42"/>
      <c r="F14" s="42"/>
      <c r="G14" s="42"/>
      <c r="H14" s="42"/>
    </row>
    <row r="15" spans="1:8" ht="16" customHeight="1" x14ac:dyDescent="0.2">
      <c r="A15" s="54" t="s">
        <v>165</v>
      </c>
      <c r="B15" s="54"/>
      <c r="C15" s="54"/>
      <c r="D15" s="54"/>
      <c r="E15" s="54"/>
      <c r="F15" s="54"/>
      <c r="G15" s="54"/>
      <c r="H15" s="54"/>
    </row>
    <row r="16" spans="1:8" ht="16" customHeight="1" x14ac:dyDescent="0.2">
      <c r="A16" s="54" t="s">
        <v>166</v>
      </c>
      <c r="B16" s="54"/>
      <c r="C16" s="54"/>
      <c r="D16" s="54"/>
      <c r="E16" s="54"/>
      <c r="F16" s="54"/>
      <c r="G16" s="54"/>
      <c r="H16" s="54"/>
    </row>
    <row r="17" spans="1:8" ht="16" customHeight="1" x14ac:dyDescent="0.2">
      <c r="A17" s="54" t="s">
        <v>167</v>
      </c>
      <c r="B17" s="54"/>
      <c r="C17" s="54"/>
      <c r="D17" s="54"/>
      <c r="E17" s="54"/>
      <c r="F17" s="54"/>
      <c r="G17" s="54"/>
      <c r="H17" s="54"/>
    </row>
    <row r="18" spans="1:8" ht="16" customHeight="1" x14ac:dyDescent="0.2">
      <c r="A18" s="54" t="s">
        <v>168</v>
      </c>
      <c r="B18" s="54"/>
      <c r="C18" s="54"/>
      <c r="D18" s="54"/>
      <c r="E18" s="54"/>
      <c r="F18" s="54"/>
      <c r="G18" s="54"/>
      <c r="H18" s="54"/>
    </row>
    <row r="19" spans="1:8" ht="32" customHeight="1" x14ac:dyDescent="0.2">
      <c r="A19" s="54" t="s">
        <v>169</v>
      </c>
      <c r="B19" s="54"/>
      <c r="C19" s="54"/>
      <c r="D19" s="54"/>
      <c r="E19" s="54"/>
      <c r="F19" s="54"/>
      <c r="G19" s="54"/>
      <c r="H19" s="54"/>
    </row>
    <row r="20" spans="1:8" x14ac:dyDescent="0.2">
      <c r="A20" s="42"/>
      <c r="B20" s="42"/>
      <c r="C20" s="42"/>
      <c r="D20" s="42"/>
      <c r="E20" s="42"/>
      <c r="F20" s="42"/>
      <c r="G20" s="42"/>
      <c r="H20" s="42"/>
    </row>
    <row r="21" spans="1:8" x14ac:dyDescent="0.2">
      <c r="A21" s="53" t="s">
        <v>170</v>
      </c>
      <c r="B21" s="53"/>
      <c r="C21" s="53"/>
      <c r="D21" s="53"/>
      <c r="E21" s="53"/>
      <c r="F21" s="53"/>
      <c r="G21" s="53"/>
      <c r="H21" s="53"/>
    </row>
    <row r="22" spans="1:8" x14ac:dyDescent="0.2">
      <c r="A22" s="42"/>
      <c r="B22" s="42"/>
      <c r="C22" s="42"/>
      <c r="D22" s="42"/>
      <c r="E22" s="42"/>
      <c r="F22" s="42"/>
      <c r="G22" s="42"/>
      <c r="H22" s="42"/>
    </row>
    <row r="23" spans="1:8" x14ac:dyDescent="0.2">
      <c r="A23" s="45" t="s">
        <v>143</v>
      </c>
      <c r="B23" s="45" t="s">
        <v>112</v>
      </c>
      <c r="C23" s="45" t="s">
        <v>152</v>
      </c>
      <c r="D23" s="42"/>
      <c r="E23" s="42"/>
      <c r="F23" s="42"/>
      <c r="G23" s="42"/>
      <c r="H23" s="42"/>
    </row>
    <row r="24" spans="1:8" x14ac:dyDescent="0.2">
      <c r="A24" s="42" t="s">
        <v>150</v>
      </c>
      <c r="B24" s="43">
        <v>87.08</v>
      </c>
      <c r="C24" s="46">
        <v>0.65800000000000003</v>
      </c>
      <c r="D24" s="42"/>
      <c r="E24" s="42"/>
      <c r="F24" s="42"/>
      <c r="G24" s="42"/>
      <c r="H24" s="42"/>
    </row>
    <row r="25" spans="1:8" x14ac:dyDescent="0.2">
      <c r="A25" s="42" t="s">
        <v>126</v>
      </c>
      <c r="B25" s="43">
        <v>92.74</v>
      </c>
      <c r="C25" s="46">
        <v>0.76500000000000001</v>
      </c>
      <c r="D25" s="42"/>
      <c r="E25" s="42"/>
      <c r="F25" s="42"/>
      <c r="G25" s="42"/>
      <c r="H25" s="42"/>
    </row>
    <row r="26" spans="1:8" x14ac:dyDescent="0.2">
      <c r="A26" s="42" t="s">
        <v>147</v>
      </c>
      <c r="B26" s="43">
        <v>65.67</v>
      </c>
      <c r="C26" s="46">
        <v>0.25</v>
      </c>
      <c r="D26" s="42"/>
      <c r="E26" s="42"/>
      <c r="F26" s="42"/>
      <c r="G26" s="42"/>
      <c r="H26" s="42"/>
    </row>
    <row r="27" spans="1:8" ht="17" thickBot="1" x14ac:dyDescent="0.25">
      <c r="A27" s="42" t="s">
        <v>148</v>
      </c>
      <c r="B27" s="43">
        <v>49.17</v>
      </c>
      <c r="C27" s="46">
        <v>-6.4000000000000001E-2</v>
      </c>
      <c r="D27" s="42"/>
      <c r="E27" s="42"/>
      <c r="F27" s="42"/>
      <c r="G27" s="42"/>
      <c r="H27" s="42"/>
    </row>
    <row r="28" spans="1:8" x14ac:dyDescent="0.2">
      <c r="A28" s="47" t="s">
        <v>151</v>
      </c>
      <c r="B28" s="48">
        <v>52.53</v>
      </c>
      <c r="C28" s="49" t="s">
        <v>171</v>
      </c>
      <c r="D28" s="42"/>
      <c r="E28" s="42"/>
      <c r="F28" s="42"/>
      <c r="G28" s="42"/>
      <c r="H28" s="42"/>
    </row>
    <row r="29" spans="1:8" x14ac:dyDescent="0.2">
      <c r="A29" s="42"/>
      <c r="B29" s="42"/>
      <c r="C29" s="42"/>
      <c r="D29" s="42"/>
      <c r="E29" s="42"/>
      <c r="F29" s="42"/>
      <c r="G29" s="42"/>
      <c r="H29" s="42"/>
    </row>
    <row r="30" spans="1:8" x14ac:dyDescent="0.2">
      <c r="A30" s="42"/>
      <c r="B30" s="42"/>
      <c r="C30" s="42"/>
      <c r="D30" s="42"/>
      <c r="E30" s="42"/>
      <c r="F30" s="42"/>
      <c r="G30" s="42"/>
      <c r="H30" s="42"/>
    </row>
    <row r="31" spans="1:8" ht="16" customHeight="1" x14ac:dyDescent="0.2">
      <c r="A31" s="55" t="s">
        <v>172</v>
      </c>
      <c r="B31" s="55"/>
      <c r="C31" s="55"/>
      <c r="D31" s="55"/>
      <c r="E31" s="55"/>
      <c r="F31" s="55"/>
      <c r="G31" s="55"/>
      <c r="H31" s="55"/>
    </row>
    <row r="32" spans="1:8" x14ac:dyDescent="0.2">
      <c r="A32" s="55"/>
      <c r="B32" s="55"/>
      <c r="C32" s="55"/>
      <c r="D32" s="55"/>
      <c r="E32" s="55"/>
      <c r="F32" s="55"/>
      <c r="G32" s="55"/>
      <c r="H32" s="55"/>
    </row>
    <row r="33" spans="1:8" x14ac:dyDescent="0.2">
      <c r="A33" s="55"/>
      <c r="B33" s="55"/>
      <c r="C33" s="55"/>
      <c r="D33" s="55"/>
      <c r="E33" s="55"/>
      <c r="F33" s="55"/>
      <c r="G33" s="55"/>
      <c r="H33" s="55"/>
    </row>
  </sheetData>
  <mergeCells count="11">
    <mergeCell ref="A17:H17"/>
    <mergeCell ref="A18:H18"/>
    <mergeCell ref="A19:H19"/>
    <mergeCell ref="A21:H21"/>
    <mergeCell ref="A31:H33"/>
    <mergeCell ref="A1:H2"/>
    <mergeCell ref="A3:H3"/>
    <mergeCell ref="A5:H5"/>
    <mergeCell ref="A13:H13"/>
    <mergeCell ref="A15:H15"/>
    <mergeCell ref="A16:H1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07F25-89EC-1D4A-855E-258451DF0DF8}">
  <dimension ref="A2:K43"/>
  <sheetViews>
    <sheetView topLeftCell="A17" workbookViewId="0">
      <selection activeCell="H25" sqref="H25"/>
    </sheetView>
  </sheetViews>
  <sheetFormatPr baseColWidth="10" defaultRowHeight="16" x14ac:dyDescent="0.2"/>
  <cols>
    <col min="1" max="1" width="23.33203125" customWidth="1"/>
    <col min="2" max="6" width="10.83203125" style="11"/>
  </cols>
  <sheetData>
    <row r="2" spans="1:11" ht="17" x14ac:dyDescent="0.25">
      <c r="A2" s="40" t="s">
        <v>87</v>
      </c>
    </row>
    <row r="4" spans="1:11" ht="17" x14ac:dyDescent="0.25">
      <c r="A4" s="2" t="s">
        <v>88</v>
      </c>
      <c r="B4" s="13">
        <v>5.2900000000000003E-2</v>
      </c>
    </row>
    <row r="5" spans="1:11" ht="17" x14ac:dyDescent="0.25">
      <c r="A5" s="2" t="s">
        <v>89</v>
      </c>
      <c r="B5" s="11">
        <v>1.29</v>
      </c>
    </row>
    <row r="6" spans="1:11" ht="17" x14ac:dyDescent="0.25">
      <c r="A6" s="2" t="s">
        <v>90</v>
      </c>
      <c r="B6" s="13">
        <v>4.1399999999999999E-2</v>
      </c>
    </row>
    <row r="7" spans="1:11" ht="17" x14ac:dyDescent="0.25">
      <c r="A7" s="2" t="s">
        <v>91</v>
      </c>
      <c r="B7" s="26">
        <f xml:space="preserve"> B4+B5*B6</f>
        <v>0.10630600000000001</v>
      </c>
    </row>
    <row r="9" spans="1:11" ht="17" x14ac:dyDescent="0.25">
      <c r="A9" s="2" t="s">
        <v>92</v>
      </c>
      <c r="B9" s="13">
        <v>5.11E-2</v>
      </c>
    </row>
    <row r="10" spans="1:11" ht="17" x14ac:dyDescent="0.25">
      <c r="A10" s="2" t="s">
        <v>93</v>
      </c>
      <c r="B10" s="13">
        <v>0.19</v>
      </c>
    </row>
    <row r="11" spans="1:11" ht="17" x14ac:dyDescent="0.25">
      <c r="A11" s="2" t="s">
        <v>94</v>
      </c>
      <c r="B11" s="26">
        <f xml:space="preserve"> B9*(1-B10)</f>
        <v>4.1391000000000004E-2</v>
      </c>
      <c r="J11" s="1"/>
      <c r="K11" s="1"/>
    </row>
    <row r="12" spans="1:11" x14ac:dyDescent="0.2">
      <c r="K12" s="4"/>
    </row>
    <row r="13" spans="1:11" ht="17" x14ac:dyDescent="0.25">
      <c r="A13" s="2" t="s">
        <v>95</v>
      </c>
      <c r="B13" s="12">
        <v>47085</v>
      </c>
    </row>
    <row r="14" spans="1:11" ht="17" x14ac:dyDescent="0.25">
      <c r="A14" s="2" t="s">
        <v>96</v>
      </c>
      <c r="B14" s="12">
        <v>13400</v>
      </c>
      <c r="K14" s="4"/>
    </row>
    <row r="15" spans="1:11" ht="17" x14ac:dyDescent="0.25">
      <c r="A15" s="2" t="s">
        <v>97</v>
      </c>
      <c r="B15" s="27">
        <f xml:space="preserve"> B13+B14</f>
        <v>60485</v>
      </c>
      <c r="K15" s="4"/>
    </row>
    <row r="16" spans="1:11" x14ac:dyDescent="0.2">
      <c r="K16" s="4"/>
    </row>
    <row r="17" spans="1:11" ht="17" x14ac:dyDescent="0.25">
      <c r="A17" s="2" t="s">
        <v>98</v>
      </c>
      <c r="B17" s="14">
        <f>B13/B15</f>
        <v>0.77845746879391586</v>
      </c>
      <c r="K17" s="3"/>
    </row>
    <row r="18" spans="1:11" ht="17" x14ac:dyDescent="0.25">
      <c r="A18" s="2" t="s">
        <v>99</v>
      </c>
      <c r="B18" s="28">
        <f xml:space="preserve"> B14/B15</f>
        <v>0.22154253120608416</v>
      </c>
      <c r="K18" s="3"/>
    </row>
    <row r="20" spans="1:11" ht="17" x14ac:dyDescent="0.25">
      <c r="A20" s="2" t="s">
        <v>100</v>
      </c>
      <c r="B20" s="28">
        <f>B17*B7+B18*B11</f>
        <v>9.1924566586757059E-2</v>
      </c>
    </row>
    <row r="24" spans="1:11" x14ac:dyDescent="0.2">
      <c r="B24" s="39" t="s">
        <v>71</v>
      </c>
      <c r="C24" s="39" t="s">
        <v>72</v>
      </c>
      <c r="D24" s="39" t="s">
        <v>73</v>
      </c>
      <c r="E24" s="39" t="s">
        <v>74</v>
      </c>
      <c r="F24" s="39" t="s">
        <v>75</v>
      </c>
    </row>
    <row r="25" spans="1:11" ht="17" x14ac:dyDescent="0.25">
      <c r="A25" s="29" t="s">
        <v>86</v>
      </c>
      <c r="B25" s="23">
        <f>Forecast!C27</f>
        <v>4940.7206100000012</v>
      </c>
      <c r="C25" s="23">
        <f>Forecast!D27</f>
        <v>5301.7537112400005</v>
      </c>
      <c r="D25" s="23">
        <f>Forecast!E27</f>
        <v>5656.1532376334999</v>
      </c>
      <c r="E25" s="23">
        <f>Forecast!F27</f>
        <v>6004.9041254042404</v>
      </c>
      <c r="F25" s="23">
        <f>Forecast!G27</f>
        <v>6309.5801465744671</v>
      </c>
    </row>
    <row r="26" spans="1:11" x14ac:dyDescent="0.2">
      <c r="A26" t="s">
        <v>102</v>
      </c>
      <c r="B26" s="11">
        <v>1</v>
      </c>
      <c r="C26" s="11">
        <v>2</v>
      </c>
      <c r="D26" s="11">
        <v>3</v>
      </c>
      <c r="E26" s="11">
        <v>4</v>
      </c>
      <c r="F26" s="11">
        <v>5</v>
      </c>
    </row>
    <row r="27" spans="1:11" ht="17" x14ac:dyDescent="0.25">
      <c r="A27" s="2" t="s">
        <v>103</v>
      </c>
      <c r="B27" s="31">
        <f>1/(1+Sensitivity!$I$2)^B26</f>
        <v>0.9158141785617081</v>
      </c>
      <c r="C27" s="31">
        <f>1/(1+Sensitivity!$I$2)^C26</f>
        <v>0.83871560965465619</v>
      </c>
      <c r="D27" s="31">
        <f>1/(1+Sensitivity!$I$2)^D26</f>
        <v>0.76810764710276125</v>
      </c>
      <c r="E27" s="31">
        <f>1/(1+Sensitivity!$I$2)^E26</f>
        <v>0.70344387387838159</v>
      </c>
      <c r="F27" s="31">
        <f>1/(1+Sensitivity!$I$2)^F26</f>
        <v>0.64422387352019583</v>
      </c>
    </row>
    <row r="28" spans="1:11" x14ac:dyDescent="0.2">
      <c r="A28" t="s">
        <v>104</v>
      </c>
      <c r="B28" s="22">
        <f>B25*B27</f>
        <v>4524.7819869500527</v>
      </c>
      <c r="C28" s="22">
        <f t="shared" ref="C28:F28" si="0">C25*C27</f>
        <v>4446.6635961614929</v>
      </c>
      <c r="D28" s="22">
        <f t="shared" si="0"/>
        <v>4344.5345550113325</v>
      </c>
      <c r="E28" s="22">
        <f t="shared" si="0"/>
        <v>4224.1130202426339</v>
      </c>
      <c r="F28" s="22">
        <f t="shared" si="0"/>
        <v>4064.7821623123282</v>
      </c>
    </row>
    <row r="30" spans="1:11" ht="17" x14ac:dyDescent="0.25">
      <c r="A30" s="2" t="s">
        <v>105</v>
      </c>
      <c r="B30" s="22">
        <f>SUM(B28:F28)</f>
        <v>21604.875320677838</v>
      </c>
      <c r="C30" s="22">
        <f t="shared" ref="C30:F30" si="1">SUM(C28:G28)</f>
        <v>17080.093333727789</v>
      </c>
      <c r="D30" s="22">
        <f t="shared" si="1"/>
        <v>12633.429737566294</v>
      </c>
      <c r="E30" s="22">
        <f t="shared" si="1"/>
        <v>8288.895182554963</v>
      </c>
      <c r="F30" s="22">
        <f t="shared" si="1"/>
        <v>4064.7821623123282</v>
      </c>
    </row>
    <row r="32" spans="1:11" x14ac:dyDescent="0.2">
      <c r="A32" t="s">
        <v>106</v>
      </c>
      <c r="B32" s="15">
        <v>2.5000000000000001E-2</v>
      </c>
    </row>
    <row r="33" spans="1:2" x14ac:dyDescent="0.2">
      <c r="A33" t="s">
        <v>107</v>
      </c>
      <c r="B33" s="22">
        <f>F25*(1+Sensitivity!$I$3)/(Sensitivity!$I$2-Sensitivity!$I$3)</f>
        <v>96635.95866332548</v>
      </c>
    </row>
    <row r="34" spans="1:2" x14ac:dyDescent="0.2">
      <c r="A34" t="s">
        <v>108</v>
      </c>
      <c r="B34" s="22">
        <f>B33*F27</f>
        <v>62255.191611425063</v>
      </c>
    </row>
    <row r="36" spans="1:2" ht="17" x14ac:dyDescent="0.25">
      <c r="A36" s="2" t="s">
        <v>109</v>
      </c>
      <c r="B36" s="22">
        <f>B30+B34</f>
        <v>83860.066932102898</v>
      </c>
    </row>
    <row r="38" spans="1:2" ht="17" x14ac:dyDescent="0.25">
      <c r="A38" s="2" t="s">
        <v>110</v>
      </c>
      <c r="B38" s="11">
        <f>8049+2373</f>
        <v>10422</v>
      </c>
    </row>
    <row r="39" spans="1:2" ht="17" x14ac:dyDescent="0.25">
      <c r="A39" s="2" t="s">
        <v>96</v>
      </c>
      <c r="B39" s="12">
        <v>9987</v>
      </c>
    </row>
    <row r="40" spans="1:2" ht="17" x14ac:dyDescent="0.25">
      <c r="A40" s="2" t="s">
        <v>111</v>
      </c>
      <c r="B40" s="22">
        <f>B36+B38-B39</f>
        <v>84295.066932102898</v>
      </c>
    </row>
    <row r="42" spans="1:2" ht="17" x14ac:dyDescent="0.25">
      <c r="A42" s="2" t="s">
        <v>23</v>
      </c>
      <c r="B42" s="11">
        <v>968</v>
      </c>
    </row>
    <row r="43" spans="1:2" ht="17" x14ac:dyDescent="0.25">
      <c r="A43" s="2" t="s">
        <v>112</v>
      </c>
      <c r="B43" s="30">
        <f>B40/B42</f>
        <v>87.081680714982326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E8BDF-947C-0549-88E9-3082255928C8}">
  <dimension ref="A2:G31"/>
  <sheetViews>
    <sheetView workbookViewId="0">
      <selection activeCell="H14" sqref="H14"/>
    </sheetView>
  </sheetViews>
  <sheetFormatPr baseColWidth="10" defaultRowHeight="16" x14ac:dyDescent="0.2"/>
  <cols>
    <col min="1" max="1" width="15.83203125" customWidth="1"/>
    <col min="2" max="2" width="19.1640625" customWidth="1"/>
    <col min="3" max="3" width="19.6640625" customWidth="1"/>
    <col min="4" max="4" width="15.5" customWidth="1"/>
    <col min="5" max="5" width="17" customWidth="1"/>
    <col min="6" max="6" width="15.1640625" customWidth="1"/>
    <col min="7" max="7" width="15" customWidth="1"/>
  </cols>
  <sheetData>
    <row r="2" spans="1:7" x14ac:dyDescent="0.2">
      <c r="A2" s="38" t="s">
        <v>122</v>
      </c>
    </row>
    <row r="4" spans="1:7" x14ac:dyDescent="0.2">
      <c r="A4" s="41" t="s">
        <v>123</v>
      </c>
      <c r="B4" s="41" t="s">
        <v>124</v>
      </c>
      <c r="C4" s="41" t="s">
        <v>125</v>
      </c>
      <c r="D4" s="41" t="s">
        <v>126</v>
      </c>
      <c r="E4" s="41" t="s">
        <v>127</v>
      </c>
      <c r="F4" s="41" t="s">
        <v>128</v>
      </c>
      <c r="G4" s="41" t="s">
        <v>129</v>
      </c>
    </row>
    <row r="5" spans="1:7" x14ac:dyDescent="0.2">
      <c r="A5" t="s">
        <v>130</v>
      </c>
      <c r="B5" t="s">
        <v>131</v>
      </c>
      <c r="C5" t="s">
        <v>131</v>
      </c>
      <c r="D5" t="s">
        <v>131</v>
      </c>
      <c r="E5" t="s">
        <v>131</v>
      </c>
      <c r="F5" t="s">
        <v>131</v>
      </c>
      <c r="G5" t="s">
        <v>131</v>
      </c>
    </row>
    <row r="6" spans="1:7" x14ac:dyDescent="0.2">
      <c r="A6" t="s">
        <v>132</v>
      </c>
      <c r="B6" s="3">
        <v>44316</v>
      </c>
      <c r="C6" s="3">
        <v>44749</v>
      </c>
      <c r="D6">
        <v>16.71</v>
      </c>
      <c r="E6" t="s">
        <v>133</v>
      </c>
      <c r="G6">
        <v>11.42</v>
      </c>
    </row>
    <row r="7" spans="1:7" x14ac:dyDescent="0.2">
      <c r="A7" t="s">
        <v>134</v>
      </c>
      <c r="B7" s="3">
        <v>24472</v>
      </c>
      <c r="C7" s="3">
        <v>51879</v>
      </c>
      <c r="D7">
        <v>6.25</v>
      </c>
      <c r="E7">
        <v>2.4900000000000002</v>
      </c>
      <c r="F7">
        <v>6.71</v>
      </c>
      <c r="G7">
        <v>6.23</v>
      </c>
    </row>
    <row r="8" spans="1:7" x14ac:dyDescent="0.2">
      <c r="A8" t="s">
        <v>135</v>
      </c>
      <c r="B8" s="3">
        <v>21611</v>
      </c>
      <c r="C8" s="3">
        <v>39758</v>
      </c>
      <c r="D8">
        <v>5.56</v>
      </c>
      <c r="E8">
        <v>3.9</v>
      </c>
      <c r="F8" t="s">
        <v>133</v>
      </c>
      <c r="G8">
        <v>26.27</v>
      </c>
    </row>
    <row r="9" spans="1:7" x14ac:dyDescent="0.2">
      <c r="A9" t="s">
        <v>136</v>
      </c>
      <c r="B9" s="3">
        <v>659588</v>
      </c>
      <c r="C9" s="3">
        <v>669654</v>
      </c>
      <c r="D9">
        <v>25.3</v>
      </c>
      <c r="E9" t="s">
        <v>140</v>
      </c>
      <c r="F9" t="s">
        <v>133</v>
      </c>
      <c r="G9">
        <v>31.55</v>
      </c>
    </row>
    <row r="10" spans="1:7" x14ac:dyDescent="0.2">
      <c r="A10" t="s">
        <v>137</v>
      </c>
      <c r="B10" s="3">
        <v>483093</v>
      </c>
      <c r="C10" s="3">
        <v>495984</v>
      </c>
      <c r="D10">
        <v>26.5</v>
      </c>
      <c r="E10" t="s">
        <v>141</v>
      </c>
      <c r="F10" t="s">
        <v>133</v>
      </c>
      <c r="G10">
        <v>28.92</v>
      </c>
    </row>
    <row r="12" spans="1:7" x14ac:dyDescent="0.2">
      <c r="A12" t="s">
        <v>138</v>
      </c>
      <c r="B12" s="3">
        <f>MEDIAN(B6:B10)</f>
        <v>44316</v>
      </c>
      <c r="C12" s="3">
        <f t="shared" ref="C12:G12" si="0">MEDIAN(C6:C10)</f>
        <v>51879</v>
      </c>
      <c r="D12" s="33">
        <f t="shared" si="0"/>
        <v>16.71</v>
      </c>
      <c r="E12" s="33">
        <f t="shared" si="0"/>
        <v>3.1950000000000003</v>
      </c>
      <c r="F12" s="33">
        <f t="shared" si="0"/>
        <v>6.71</v>
      </c>
      <c r="G12" s="33">
        <f>MEDIAN(G6:G10)</f>
        <v>26.27</v>
      </c>
    </row>
    <row r="13" spans="1:7" x14ac:dyDescent="0.2">
      <c r="A13" t="s">
        <v>139</v>
      </c>
      <c r="B13" s="3">
        <f>AVERAGE(B6:B10)</f>
        <v>246616</v>
      </c>
      <c r="C13" s="3">
        <f t="shared" ref="C13:G13" si="1">AVERAGE(C6:C10)</f>
        <v>260404.8</v>
      </c>
      <c r="D13" s="33">
        <f t="shared" si="1"/>
        <v>16.064</v>
      </c>
      <c r="E13" s="33">
        <f t="shared" si="1"/>
        <v>3.1950000000000003</v>
      </c>
      <c r="F13" s="33">
        <f t="shared" si="1"/>
        <v>6.71</v>
      </c>
      <c r="G13" s="33">
        <f t="shared" si="1"/>
        <v>20.878</v>
      </c>
    </row>
    <row r="16" spans="1:7" x14ac:dyDescent="0.2">
      <c r="A16" s="38" t="s">
        <v>142</v>
      </c>
    </row>
    <row r="18" spans="1:6" x14ac:dyDescent="0.2">
      <c r="A18" s="29" t="s">
        <v>143</v>
      </c>
      <c r="B18" t="s">
        <v>144</v>
      </c>
      <c r="C18" t="s">
        <v>145</v>
      </c>
      <c r="D18" t="s">
        <v>146</v>
      </c>
      <c r="E18" t="s">
        <v>112</v>
      </c>
    </row>
    <row r="19" spans="1:6" ht="17" x14ac:dyDescent="0.25">
      <c r="A19" s="29" t="s">
        <v>126</v>
      </c>
      <c r="B19">
        <v>16.71</v>
      </c>
      <c r="C19">
        <v>5.55</v>
      </c>
      <c r="D19" s="5">
        <f>B19*C19</f>
        <v>92.740499999999997</v>
      </c>
      <c r="E19" s="19">
        <f>D19</f>
        <v>92.740499999999997</v>
      </c>
    </row>
    <row r="20" spans="1:6" ht="17" x14ac:dyDescent="0.25">
      <c r="A20" s="2" t="s">
        <v>147</v>
      </c>
      <c r="B20" s="5">
        <f>MEDIAN(G6:G8)</f>
        <v>11.42</v>
      </c>
      <c r="C20">
        <v>5.75</v>
      </c>
      <c r="D20" s="5">
        <f>B20*C20</f>
        <v>65.665000000000006</v>
      </c>
      <c r="E20" s="19">
        <f>D20</f>
        <v>65.665000000000006</v>
      </c>
    </row>
    <row r="21" spans="1:6" x14ac:dyDescent="0.2">
      <c r="A21" s="29" t="s">
        <v>148</v>
      </c>
      <c r="B21">
        <f>MEDIAN(F6:F8)</f>
        <v>6.71</v>
      </c>
      <c r="C21">
        <v>7028</v>
      </c>
      <c r="D21" s="17">
        <f>B21*C21</f>
        <v>47157.88</v>
      </c>
      <c r="E21" s="17">
        <f>D21+10422-9987</f>
        <v>47592.88</v>
      </c>
      <c r="F21" s="34">
        <f>E21/968</f>
        <v>49.166198347107432</v>
      </c>
    </row>
    <row r="22" spans="1:6" ht="17" x14ac:dyDescent="0.25">
      <c r="A22" s="2"/>
    </row>
    <row r="24" spans="1:6" x14ac:dyDescent="0.2">
      <c r="A24" s="41" t="s">
        <v>149</v>
      </c>
    </row>
    <row r="25" spans="1:6" x14ac:dyDescent="0.2">
      <c r="C25" t="s">
        <v>152</v>
      </c>
    </row>
    <row r="26" spans="1:6" x14ac:dyDescent="0.2">
      <c r="A26" s="29" t="s">
        <v>150</v>
      </c>
      <c r="B26" s="16">
        <v>87.08</v>
      </c>
      <c r="C26" s="7">
        <f>B26/$B$31-1</f>
        <v>0.65771939843898708</v>
      </c>
    </row>
    <row r="27" spans="1:6" x14ac:dyDescent="0.2">
      <c r="A27" s="29" t="s">
        <v>126</v>
      </c>
      <c r="B27" s="16">
        <v>92.74</v>
      </c>
      <c r="C27" s="7">
        <f t="shared" ref="C27:C31" si="2">B27/$B$31-1</f>
        <v>0.76546735198933935</v>
      </c>
    </row>
    <row r="28" spans="1:6" x14ac:dyDescent="0.2">
      <c r="A28" s="29" t="s">
        <v>147</v>
      </c>
      <c r="B28" s="16">
        <v>65.67</v>
      </c>
      <c r="C28" s="7">
        <f t="shared" si="2"/>
        <v>0.25014277555682463</v>
      </c>
    </row>
    <row r="29" spans="1:6" x14ac:dyDescent="0.2">
      <c r="A29" s="29" t="s">
        <v>148</v>
      </c>
      <c r="B29" s="16">
        <v>49.17</v>
      </c>
      <c r="C29" s="7">
        <f t="shared" si="2"/>
        <v>-6.3963449457452914E-2</v>
      </c>
    </row>
    <row r="30" spans="1:6" x14ac:dyDescent="0.2">
      <c r="C30" s="7"/>
    </row>
    <row r="31" spans="1:6" x14ac:dyDescent="0.2">
      <c r="A31" s="29" t="s">
        <v>151</v>
      </c>
      <c r="B31">
        <v>52.53</v>
      </c>
      <c r="C31" s="7">
        <f t="shared" si="2"/>
        <v>0</v>
      </c>
    </row>
  </sheetData>
  <pageMargins left="0.7" right="0.7" top="0.75" bottom="0.75" header="0.3" footer="0.3"/>
  <ignoredErrors>
    <ignoredError sqref="B20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0FB8C-7610-9041-A8AB-79BD484F5148}">
  <dimension ref="A2:I17"/>
  <sheetViews>
    <sheetView zoomScaleNormal="100" workbookViewId="0">
      <selection activeCell="H18" sqref="H18"/>
    </sheetView>
  </sheetViews>
  <sheetFormatPr baseColWidth="10" defaultRowHeight="16" x14ac:dyDescent="0.2"/>
  <cols>
    <col min="8" max="8" width="21" customWidth="1"/>
  </cols>
  <sheetData>
    <row r="2" spans="1:9" ht="17" x14ac:dyDescent="0.25">
      <c r="A2" s="38" t="s">
        <v>113</v>
      </c>
      <c r="H2" t="s">
        <v>101</v>
      </c>
      <c r="I2" s="25">
        <f xml:space="preserve"> DCF!B20</f>
        <v>9.1924566586757059E-2</v>
      </c>
    </row>
    <row r="3" spans="1:9" ht="17" x14ac:dyDescent="0.25">
      <c r="H3" t="s">
        <v>115</v>
      </c>
      <c r="I3" s="25">
        <f xml:space="preserve"> DCF!B32</f>
        <v>2.5000000000000001E-2</v>
      </c>
    </row>
    <row r="4" spans="1:9" x14ac:dyDescent="0.2">
      <c r="A4" t="s">
        <v>112</v>
      </c>
      <c r="D4" t="s">
        <v>100</v>
      </c>
    </row>
    <row r="5" spans="1:9" ht="17" x14ac:dyDescent="0.25">
      <c r="A5" s="5">
        <f>DCF!B43</f>
        <v>87.081680714982326</v>
      </c>
      <c r="B5" s="32">
        <v>0.08</v>
      </c>
      <c r="C5" s="8">
        <v>8.5000000000000006E-2</v>
      </c>
      <c r="D5" s="8">
        <v>0.09</v>
      </c>
      <c r="E5" s="8">
        <v>9.5000000000000001E-2</v>
      </c>
      <c r="F5" s="18">
        <v>0.1</v>
      </c>
    </row>
    <row r="6" spans="1:9" ht="17" x14ac:dyDescent="0.25">
      <c r="A6" s="32">
        <v>0.02</v>
      </c>
      <c r="B6">
        <f t="dataTable" ref="B6:F9" dt2D="1" dtr="1" r1="I2" r2="I3"/>
        <v>98.919893883421167</v>
      </c>
      <c r="C6">
        <v>91.215955862718388</v>
      </c>
      <c r="D6">
        <v>84.614657358100189</v>
      </c>
      <c r="E6">
        <v>78.895425861724647</v>
      </c>
      <c r="F6">
        <v>73.892833171911875</v>
      </c>
    </row>
    <row r="7" spans="1:9" ht="17" x14ac:dyDescent="0.25">
      <c r="A7" s="32">
        <v>2.5000000000000001E-2</v>
      </c>
      <c r="B7">
        <v>106.17905016682971</v>
      </c>
      <c r="C7">
        <v>97.245875838210765</v>
      </c>
      <c r="D7">
        <v>89.688975820399008</v>
      </c>
      <c r="E7">
        <v>83.213392954042533</v>
      </c>
      <c r="F7">
        <v>77.602826403501638</v>
      </c>
    </row>
    <row r="8" spans="1:9" ht="17" x14ac:dyDescent="0.25">
      <c r="A8" s="32">
        <v>0.03</v>
      </c>
      <c r="B8">
        <v>114.89003770691997</v>
      </c>
      <c r="C8">
        <v>104.37214490015629</v>
      </c>
      <c r="D8">
        <v>95.609014026414314</v>
      </c>
      <c r="E8">
        <v>88.19566267594783</v>
      </c>
      <c r="F8">
        <v>81.842818668175653</v>
      </c>
    </row>
    <row r="9" spans="1:9" ht="17" x14ac:dyDescent="0.25">
      <c r="A9" s="32">
        <v>3.5000000000000003E-2</v>
      </c>
      <c r="B9">
        <v>125.53680025591918</v>
      </c>
      <c r="C9">
        <v>112.92366777449092</v>
      </c>
      <c r="D9">
        <v>102.60542281534147</v>
      </c>
      <c r="E9">
        <v>94.008310684837326</v>
      </c>
      <c r="F9">
        <v>86.735117435107213</v>
      </c>
    </row>
    <row r="10" spans="1:9" x14ac:dyDescent="0.2">
      <c r="A10" t="s">
        <v>114</v>
      </c>
    </row>
    <row r="12" spans="1:9" x14ac:dyDescent="0.2">
      <c r="A12" s="38" t="s">
        <v>116</v>
      </c>
    </row>
    <row r="13" spans="1:9" x14ac:dyDescent="0.2">
      <c r="A13" t="s">
        <v>117</v>
      </c>
    </row>
    <row r="14" spans="1:9" x14ac:dyDescent="0.2">
      <c r="A14" t="s">
        <v>118</v>
      </c>
    </row>
    <row r="15" spans="1:9" x14ac:dyDescent="0.2">
      <c r="A15" t="s">
        <v>119</v>
      </c>
    </row>
    <row r="16" spans="1:9" x14ac:dyDescent="0.2">
      <c r="A16" t="s">
        <v>120</v>
      </c>
    </row>
    <row r="17" spans="1:1" x14ac:dyDescent="0.2">
      <c r="A17" t="s">
        <v>121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</vt:lpstr>
      <vt:lpstr>Historical</vt:lpstr>
      <vt:lpstr>Forecast</vt:lpstr>
      <vt:lpstr>Summary</vt:lpstr>
      <vt:lpstr>DCF</vt:lpstr>
      <vt:lpstr>Comps</vt:lpstr>
      <vt:lpstr>Sensitivity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2026-10-01T02:53:36Z</dcterms:created>
  <dcterms:modified xsi:type="dcterms:W3CDTF">2026-10-01T18:04:36Z</dcterms:modified>
</cp:coreProperties>
</file>